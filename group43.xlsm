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fe469d9f899ae30/שולחן העבודה/"/>
    </mc:Choice>
  </mc:AlternateContent>
  <xr:revisionPtr revIDLastSave="221" documentId="8_{A44F9B34-7D57-4F33-A1E4-F82395A440EA}" xr6:coauthVersionLast="47" xr6:coauthVersionMax="47" xr10:uidLastSave="{56EE6AA5-3AB2-4D06-813D-6C46711A9238}"/>
  <bookViews>
    <workbookView xWindow="-108" yWindow="-108" windowWidth="23256" windowHeight="12456" activeTab="1" xr2:uid="{00000000-000D-0000-FFFF-FFFF00000000}"/>
  </bookViews>
  <sheets>
    <sheet name="SOLVER" sheetId="4" r:id="rId1"/>
    <sheet name="OUTPUT" sheetId="2" r:id="rId2"/>
    <sheet name="INPUT" sheetId="1" r:id="rId3"/>
  </sheets>
  <functionGroups builtInGroupCount="19"/>
  <definedNames>
    <definedName name="aj">INPUT!$I$3</definedName>
    <definedName name="bj">INPUT!$I$4</definedName>
    <definedName name="cj">INPUT!$C$7</definedName>
    <definedName name="cycle">INPUT!$C$2</definedName>
    <definedName name="dj">INPUT!#REF!</definedName>
    <definedName name="ej">INPUT!$C$6</definedName>
    <definedName name="fj">INPUT!$C$8</definedName>
    <definedName name="K_OPT">INPUT!$B$4</definedName>
    <definedName name="LB">INPUT!#REF!</definedName>
    <definedName name="solver_adj" localSheetId="1" hidden="1">OUTPUT!$B$11:$B$40</definedName>
    <definedName name="solver_adj" localSheetId="0" hidden="1">SOLVER!$C$7:$L$16,SOLVER!$D$3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1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1" hidden="1">OUTPUT!$B$41</definedName>
    <definedName name="solver_lhs1" localSheetId="0" hidden="1">SOLVER!$C$17</definedName>
    <definedName name="solver_lhs10" localSheetId="0" hidden="1">SOLVER!$H$17</definedName>
    <definedName name="solver_lhs11" localSheetId="0" hidden="1">SOLVER!$I$17</definedName>
    <definedName name="solver_lhs12" localSheetId="0" hidden="1">SOLVER!$J$17</definedName>
    <definedName name="solver_lhs13" localSheetId="0" hidden="1">SOLVER!$K$17</definedName>
    <definedName name="solver_lhs14" localSheetId="0" hidden="1">SOLVER!$L$17</definedName>
    <definedName name="solver_lhs15" localSheetId="0" hidden="1">SOLVER!$M$10</definedName>
    <definedName name="solver_lhs16" localSheetId="0" hidden="1">SOLVER!$M$11</definedName>
    <definedName name="solver_lhs17" localSheetId="0" hidden="1">SOLVER!$M$12</definedName>
    <definedName name="solver_lhs18" localSheetId="0" hidden="1">SOLVER!$M$13</definedName>
    <definedName name="solver_lhs19" localSheetId="0" hidden="1">SOLVER!$M$14</definedName>
    <definedName name="solver_lhs2" localSheetId="0" hidden="1">SOLVER!$C$40:$C$49</definedName>
    <definedName name="solver_lhs20" localSheetId="0" hidden="1">SOLVER!$M$15</definedName>
    <definedName name="solver_lhs21" localSheetId="0" hidden="1">SOLVER!$M$16</definedName>
    <definedName name="solver_lhs22" localSheetId="0" hidden="1">SOLVER!$M$7</definedName>
    <definedName name="solver_lhs23" localSheetId="0" hidden="1">SOLVER!$M$8</definedName>
    <definedName name="solver_lhs24" localSheetId="0" hidden="1">SOLVER!$M$9</definedName>
    <definedName name="solver_lhs3" localSheetId="0" hidden="1">SOLVER!$C$64:$C$108</definedName>
    <definedName name="solver_lhs4" localSheetId="0" hidden="1">SOLVER!$C$7:$L$16</definedName>
    <definedName name="solver_lhs5" localSheetId="0" hidden="1">SOLVER!$D$3</definedName>
    <definedName name="solver_lhs6" localSheetId="0" hidden="1">SOLVER!$D$5</definedName>
    <definedName name="solver_lhs7" localSheetId="0" hidden="1">SOLVER!$F$26</definedName>
    <definedName name="solver_lhs8" localSheetId="0" hidden="1">SOLVER!$F$27</definedName>
    <definedName name="solver_lhs9" localSheetId="0" hidden="1">SOLVER!$G$17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0" hidden="1">2147483647</definedName>
    <definedName name="solver_num" localSheetId="2" hidden="1">0</definedName>
    <definedName name="solver_num" localSheetId="1" hidden="1">1</definedName>
    <definedName name="solver_num" localSheetId="0" hidden="1">24</definedName>
    <definedName name="solver_nwt" localSheetId="0" hidden="1">1</definedName>
    <definedName name="solver_opt" localSheetId="2" hidden="1">INPUT!$T$23</definedName>
    <definedName name="solver_opt" localSheetId="1" hidden="1">OUTPUT!$B$3</definedName>
    <definedName name="solver_opt" localSheetId="0" hidden="1">SOLVER!$D$3</definedName>
    <definedName name="solver_pre" localSheetId="0" hidden="1">0.000001</definedName>
    <definedName name="solver_rbv" localSheetId="0" hidden="1">2</definedName>
    <definedName name="solver_rel1" localSheetId="1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14" localSheetId="0" hidden="1">2</definedName>
    <definedName name="solver_rel15" localSheetId="0" hidden="1">2</definedName>
    <definedName name="solver_rel16" localSheetId="0" hidden="1">2</definedName>
    <definedName name="solver_rel17" localSheetId="0" hidden="1">2</definedName>
    <definedName name="solver_rel18" localSheetId="0" hidden="1">2</definedName>
    <definedName name="solver_rel19" localSheetId="0" hidden="1">2</definedName>
    <definedName name="solver_rel2" localSheetId="0" hidden="1">1</definedName>
    <definedName name="solver_rel20" localSheetId="0" hidden="1">2</definedName>
    <definedName name="solver_rel21" localSheetId="0" hidden="1">2</definedName>
    <definedName name="solver_rel22" localSheetId="0" hidden="1">2</definedName>
    <definedName name="solver_rel23" localSheetId="0" hidden="1">2</definedName>
    <definedName name="solver_rel24" localSheetId="0" hidden="1">2</definedName>
    <definedName name="solver_rel3" localSheetId="0" hidden="1">1</definedName>
    <definedName name="solver_rel4" localSheetId="0" hidden="1">5</definedName>
    <definedName name="solver_rel5" localSheetId="0" hidden="1">4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1" hidden="1">OUTPUT!$B$5</definedName>
    <definedName name="solver_rhs1" localSheetId="0" hidden="1">SOLVER!$F$25</definedName>
    <definedName name="solver_rhs10" localSheetId="0" hidden="1">SOLVER!$F$30</definedName>
    <definedName name="solver_rhs11" localSheetId="0" hidden="1">SOLVER!$F$31</definedName>
    <definedName name="solver_rhs12" localSheetId="0" hidden="1">SOLVER!$F$32</definedName>
    <definedName name="solver_rhs13" localSheetId="0" hidden="1">SOLVER!$F$33</definedName>
    <definedName name="solver_rhs14" localSheetId="0" hidden="1">SOLVER!$F$34</definedName>
    <definedName name="solver_rhs15" localSheetId="0" hidden="1">SOLVER!$O$10*SOLVER!$M$10</definedName>
    <definedName name="solver_rhs16" localSheetId="0" hidden="1">SOLVER!$M$11*SOLVER!$O$11</definedName>
    <definedName name="solver_rhs17" localSheetId="0" hidden="1">SOLVER!$O$12*SOLVER!$M$12</definedName>
    <definedName name="solver_rhs18" localSheetId="0" hidden="1">SOLVER!$M$13*SOLVER!$O$13</definedName>
    <definedName name="solver_rhs19" localSheetId="0" hidden="1">SOLVER!$O$14*SOLVER!$M$14</definedName>
    <definedName name="solver_rhs2" localSheetId="0" hidden="1">SOLVER!$D$3</definedName>
    <definedName name="solver_rhs20" localSheetId="0" hidden="1">SOLVER!$M$15*SOLVER!$O$15</definedName>
    <definedName name="solver_rhs21" localSheetId="0" hidden="1">SOLVER!$M$16*SOLVER!$O$16</definedName>
    <definedName name="solver_rhs22" localSheetId="0" hidden="1">SOLVER!$M$7*SOLVER!$O$7</definedName>
    <definedName name="solver_rhs23" localSheetId="0" hidden="1">SOLVER!$M$8*SOLVER!$O$8</definedName>
    <definedName name="solver_rhs24" localSheetId="0" hidden="1">SOLVER!$M$9*SOLVER!$O$9</definedName>
    <definedName name="solver_rhs3" localSheetId="0" hidden="1">SOLVER!$D$64:$D$108</definedName>
    <definedName name="solver_rhs4" localSheetId="0" hidden="1">"binary"</definedName>
    <definedName name="solver_rhs5" localSheetId="0" hidden="1">"integer"</definedName>
    <definedName name="solver_rhs6" localSheetId="0" hidden="1">SOLVER!$M$17</definedName>
    <definedName name="solver_rhs7" localSheetId="0" hidden="1">SOLVER!$D$17</definedName>
    <definedName name="solver_rhs8" localSheetId="0" hidden="1">SOLVER!$E$17</definedName>
    <definedName name="solver_rhs9" localSheetId="0" hidden="1">SOLVER!$F$29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1" hidden="1">2</definedName>
    <definedName name="solver_typ" localSheetId="0" hidden="1">2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er" localSheetId="2" hidden="1">3</definedName>
    <definedName name="solver_ver" localSheetId="1" hidden="1">3</definedName>
    <definedName name="solver_ver" localSheetId="0" hidden="1">3</definedName>
    <definedName name="UB">INPUT!$B$3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4" i="4" l="1"/>
  <c r="F33" i="4"/>
  <c r="F32" i="4"/>
  <c r="F31" i="4"/>
  <c r="F30" i="4"/>
  <c r="F29" i="4"/>
  <c r="F28" i="4"/>
  <c r="F27" i="4"/>
  <c r="F26" i="4"/>
  <c r="F25" i="4"/>
  <c r="C108" i="4" l="1"/>
  <c r="C107" i="4"/>
  <c r="C106" i="4"/>
  <c r="C105" i="4" l="1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 l="1"/>
  <c r="D105" i="4" l="1"/>
  <c r="D106" i="4"/>
  <c r="D107" i="4"/>
  <c r="D108" i="4" l="1"/>
  <c r="D104" i="4"/>
  <c r="D103" i="4"/>
  <c r="D102" i="4"/>
  <c r="D101" i="4"/>
  <c r="D100" i="4"/>
  <c r="D99" i="4"/>
  <c r="D98" i="4"/>
  <c r="D97" i="4"/>
  <c r="D96" i="4"/>
  <c r="D95" i="4"/>
  <c r="D60" i="4"/>
  <c r="D59" i="4"/>
  <c r="D58" i="4"/>
  <c r="D57" i="4"/>
  <c r="D56" i="4"/>
  <c r="D94" i="4" s="1"/>
  <c r="D55" i="4"/>
  <c r="D54" i="4"/>
  <c r="D53" i="4"/>
  <c r="D52" i="4"/>
  <c r="D51" i="4" l="1"/>
  <c r="D93" i="4" l="1"/>
  <c r="D92" i="4" l="1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 l="1"/>
  <c r="D75" i="4"/>
  <c r="D74" i="4"/>
  <c r="D73" i="4"/>
  <c r="D72" i="4"/>
  <c r="D71" i="4"/>
  <c r="D70" i="4" l="1"/>
  <c r="D69" i="4"/>
  <c r="D68" i="4"/>
  <c r="D67" i="4"/>
  <c r="D66" i="4"/>
  <c r="D65" i="4"/>
  <c r="D64" i="4"/>
  <c r="C49" i="4" l="1"/>
  <c r="C48" i="4"/>
  <c r="C47" i="4"/>
  <c r="C46" i="4"/>
  <c r="C45" i="4"/>
  <c r="C44" i="4"/>
  <c r="C43" i="4"/>
  <c r="C42" i="4"/>
  <c r="C41" i="4"/>
  <c r="C40" i="4"/>
  <c r="M16" i="4" l="1"/>
  <c r="M15" i="4"/>
  <c r="M14" i="4"/>
  <c r="M13" i="4"/>
  <c r="M12" i="4"/>
  <c r="M11" i="4"/>
  <c r="M10" i="4"/>
  <c r="M9" i="4"/>
  <c r="M8" i="4"/>
  <c r="M7" i="4"/>
  <c r="L17" i="4"/>
  <c r="K17" i="4"/>
  <c r="J17" i="4"/>
  <c r="I17" i="4"/>
  <c r="H17" i="4"/>
  <c r="G17" i="4"/>
  <c r="F17" i="4"/>
  <c r="E17" i="4"/>
  <c r="D17" i="4"/>
  <c r="C17" i="4"/>
  <c r="M17" i="4" l="1"/>
</calcChain>
</file>

<file path=xl/sharedStrings.xml><?xml version="1.0" encoding="utf-8"?>
<sst xmlns="http://schemas.openxmlformats.org/spreadsheetml/2006/main" count="121" uniqueCount="63">
  <si>
    <t>Job</t>
  </si>
  <si>
    <t>Duration</t>
  </si>
  <si>
    <t>Input</t>
  </si>
  <si>
    <t>Output</t>
  </si>
  <si>
    <t>station 1</t>
  </si>
  <si>
    <t>The stations that were opened</t>
  </si>
  <si>
    <r>
      <rPr>
        <b/>
        <sz val="12"/>
        <rFont val="Arial"/>
        <family val="2"/>
        <scheme val="minor"/>
      </rPr>
      <t>Total cycle</t>
    </r>
    <r>
      <rPr>
        <b/>
        <sz val="12"/>
        <color theme="0"/>
        <rFont val="Arial"/>
        <family val="2"/>
        <scheme val="minor"/>
      </rPr>
      <t xml:space="preserve">
</t>
    </r>
    <r>
      <rPr>
        <b/>
        <sz val="12"/>
        <rFont val="Arial"/>
        <family val="2"/>
        <scheme val="minor"/>
      </rPr>
      <t>time in station</t>
    </r>
  </si>
  <si>
    <t xml:space="preserve">Is the solution optimal?      (Yes / No / Not-necessarily) </t>
  </si>
  <si>
    <t>K</t>
  </si>
  <si>
    <t xml:space="preserve">solution (C) </t>
  </si>
  <si>
    <t xml:space="preserve">LB (C) </t>
  </si>
  <si>
    <t>משתנים</t>
  </si>
  <si>
    <t>פונק המטרה</t>
  </si>
  <si>
    <t>אילוצים</t>
  </si>
  <si>
    <t>"="</t>
  </si>
  <si>
    <t>סכום שורות</t>
  </si>
  <si>
    <t>סכום עמודות</t>
  </si>
  <si>
    <t>מספר תחנות</t>
  </si>
  <si>
    <t>מספר ג'ובים</t>
  </si>
  <si>
    <t>K=</t>
  </si>
  <si>
    <t>n=</t>
  </si>
  <si>
    <t>min C=</t>
  </si>
  <si>
    <t>האם הגוב קיים =1</t>
  </si>
  <si>
    <t xml:space="preserve">גוב לא קיים = 0 </t>
  </si>
  <si>
    <t xml:space="preserve"> :binari 0/1</t>
  </si>
  <si>
    <t>האילוץ שהזמן מחזור בכל תחנה קטן או שווה לזמן מחזור</t>
  </si>
  <si>
    <t>y10</t>
  </si>
  <si>
    <t>y9</t>
  </si>
  <si>
    <t>y8</t>
  </si>
  <si>
    <t>y7</t>
  </si>
  <si>
    <t>y6</t>
  </si>
  <si>
    <t>y5</t>
  </si>
  <si>
    <t>y4</t>
  </si>
  <si>
    <t>y3</t>
  </si>
  <si>
    <t>y2</t>
  </si>
  <si>
    <t>y1</t>
  </si>
  <si>
    <t>תחנות נותנות:</t>
  </si>
  <si>
    <t>תחנה 1</t>
  </si>
  <si>
    <t>תחנה 2</t>
  </si>
  <si>
    <t>תחנה 3</t>
  </si>
  <si>
    <t>תחנה 4</t>
  </si>
  <si>
    <t>תחנה 5</t>
  </si>
  <si>
    <t>תחנה 6</t>
  </si>
  <si>
    <t>תחנה 7</t>
  </si>
  <si>
    <t>תחנה 8</t>
  </si>
  <si>
    <t>תחנה 9</t>
  </si>
  <si>
    <t>תחנה 10</t>
  </si>
  <si>
    <t>לפני</t>
  </si>
  <si>
    <t>LHS</t>
  </si>
  <si>
    <t>RHS</t>
  </si>
  <si>
    <t>גוב 1</t>
  </si>
  <si>
    <t>גוב 2</t>
  </si>
  <si>
    <t>גוב 3</t>
  </si>
  <si>
    <t>גוב 4</t>
  </si>
  <si>
    <t>גוב 5</t>
  </si>
  <si>
    <t>גוב 6</t>
  </si>
  <si>
    <t>גוב 7</t>
  </si>
  <si>
    <t>גוב 8</t>
  </si>
  <si>
    <t>גוב 9</t>
  </si>
  <si>
    <t>גוב 10</t>
  </si>
  <si>
    <t>אילוצי קדימיות</t>
  </si>
  <si>
    <t>אילוץ האם הגוב קיים או לא: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</si>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</sst>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rial"/>
      <family val="2"/>
      <charset val="177"/>
      <scheme val="minor"/>
    </font>
    <font>
      <b/>
      <sz val="12"/>
      <color theme="0"/>
      <name val="Arial"/>
      <family val="2"/>
      <scheme val="minor"/>
    </font>
    <font>
      <b/>
      <sz val="18"/>
      <name val="Arial"/>
      <family val="2"/>
      <scheme val="minor"/>
    </font>
    <font>
      <b/>
      <sz val="16"/>
      <name val="Arial"/>
      <family val="2"/>
      <scheme val="minor"/>
    </font>
    <font>
      <b/>
      <sz val="12"/>
      <name val="Arial"/>
      <family val="2"/>
      <scheme val="minor"/>
    </font>
    <font>
      <b/>
      <sz val="11"/>
      <color theme="1"/>
      <name val="Arial"/>
      <family val="2"/>
      <scheme val="minor"/>
    </font>
    <font>
      <sz val="8"/>
      <name val="Arial"/>
      <family val="2"/>
      <charset val="177"/>
      <scheme val="minor"/>
    </font>
    <font>
      <b/>
      <sz val="20"/>
      <name val="Arial"/>
      <family val="2"/>
      <scheme val="minor"/>
    </font>
    <font>
      <sz val="14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b/>
      <sz val="11"/>
      <color theme="0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b/>
      <u/>
      <sz val="16"/>
      <color theme="1"/>
      <name val="Aria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</borders>
  <cellStyleXfs count="4">
    <xf numFmtId="0" fontId="0" fillId="0" borderId="0"/>
    <xf numFmtId="0" fontId="10" fillId="9" borderId="11" applyNumberFormat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5" borderId="7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5" fillId="3" borderId="7" xfId="0" applyFont="1" applyFill="1" applyBorder="1"/>
    <xf numFmtId="0" fontId="0" fillId="4" borderId="7" xfId="0" applyFill="1" applyBorder="1"/>
    <xf numFmtId="0" fontId="7" fillId="0" borderId="0" xfId="0" applyFont="1"/>
    <xf numFmtId="0" fontId="8" fillId="7" borderId="1" xfId="0" applyFont="1" applyFill="1" applyBorder="1"/>
    <xf numFmtId="0" fontId="8" fillId="7" borderId="3" xfId="0" applyFont="1" applyFill="1" applyBorder="1" applyAlignment="1">
      <alignment horizontal="left" vertical="center" wrapText="1"/>
    </xf>
    <xf numFmtId="0" fontId="0" fillId="8" borderId="7" xfId="0" applyFill="1" applyBorder="1" applyAlignment="1">
      <alignment horizontal="center"/>
    </xf>
    <xf numFmtId="0" fontId="1" fillId="0" borderId="0" xfId="0" applyFont="1" applyAlignment="1">
      <alignment horizontal="right" wrapText="1"/>
    </xf>
    <xf numFmtId="0" fontId="8" fillId="7" borderId="5" xfId="0" applyFont="1" applyFill="1" applyBorder="1"/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5" fillId="2" borderId="7" xfId="0" applyFont="1" applyFill="1" applyBorder="1" applyAlignment="1">
      <alignment horizontal="center" vertical="center"/>
    </xf>
    <xf numFmtId="0" fontId="10" fillId="9" borderId="11" xfId="1" applyAlignment="1">
      <alignment horizontal="center"/>
    </xf>
    <xf numFmtId="0" fontId="9" fillId="11" borderId="0" xfId="3" applyBorder="1"/>
    <xf numFmtId="0" fontId="5" fillId="0" borderId="7" xfId="0" applyFont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/>
    <xf numFmtId="0" fontId="5" fillId="5" borderId="0" xfId="0" applyFont="1" applyFill="1"/>
    <xf numFmtId="0" fontId="0" fillId="14" borderId="0" xfId="0" applyFill="1"/>
    <xf numFmtId="0" fontId="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5" fillId="13" borderId="0" xfId="2" applyFont="1" applyFill="1" applyAlignment="1">
      <alignment horizontal="right"/>
    </xf>
    <xf numFmtId="0" fontId="5" fillId="13" borderId="0" xfId="2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9" fillId="13" borderId="0" xfId="2" applyFill="1" applyBorder="1" applyAlignment="1">
      <alignment horizontal="center"/>
    </xf>
    <xf numFmtId="0" fontId="9" fillId="13" borderId="0" xfId="2" applyFill="1" applyAlignment="1">
      <alignment horizontal="center"/>
    </xf>
    <xf numFmtId="0" fontId="5" fillId="15" borderId="0" xfId="0" applyFont="1" applyFill="1"/>
    <xf numFmtId="0" fontId="0" fillId="15" borderId="0" xfId="0" applyFill="1"/>
    <xf numFmtId="0" fontId="11" fillId="15" borderId="0" xfId="0" applyFont="1" applyFill="1"/>
    <xf numFmtId="0" fontId="12" fillId="15" borderId="0" xfId="0" applyFont="1" applyFill="1"/>
    <xf numFmtId="0" fontId="12" fillId="14" borderId="0" xfId="0" applyFont="1" applyFill="1" applyAlignment="1">
      <alignment horizontal="right"/>
    </xf>
    <xf numFmtId="0" fontId="12" fillId="13" borderId="0" xfId="0" applyFont="1" applyFill="1"/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0" xfId="0" applyFill="1" applyAlignment="1">
      <alignment horizontal="center"/>
    </xf>
    <xf numFmtId="0" fontId="0" fillId="16" borderId="4" xfId="0" applyFill="1" applyBorder="1" applyAlignment="1">
      <alignment horizontal="center" vertical="center"/>
    </xf>
  </cellXfs>
  <cellStyles count="4">
    <cellStyle name="20% - Accent3" xfId="2" builtinId="38"/>
    <cellStyle name="40% - Accent6" xfId="3" builtinId="51"/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144779</xdr:colOff>
      <xdr:row>27</xdr:row>
      <xdr:rowOff>84666</xdr:rowOff>
    </xdr:from>
    <xdr:to>
      <xdr:col>2</xdr:col>
      <xdr:colOff>668860</xdr:colOff>
      <xdr:row>29</xdr:row>
      <xdr:rowOff>22859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A2C8C9-CB02-4B38-9389-1CE2F29F7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19" y="3627966"/>
          <a:ext cx="524081" cy="288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30481</xdr:colOff>
      <xdr:row>36</xdr:row>
      <xdr:rowOff>101830</xdr:rowOff>
    </xdr:from>
    <xdr:to>
      <xdr:col>3</xdr:col>
      <xdr:colOff>914401</xdr:colOff>
      <xdr:row>38</xdr:row>
      <xdr:rowOff>160019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00B495-D905-2971-818B-0EC979354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5521" y="6487390"/>
          <a:ext cx="2194560" cy="4239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498930</xdr:colOff>
      <xdr:row>3</xdr:row>
      <xdr:rowOff>108857</xdr:rowOff>
    </xdr:from>
    <xdr:to>
      <xdr:col>8</xdr:col>
      <xdr:colOff>163286</xdr:colOff>
      <xdr:row>4</xdr:row>
      <xdr:rowOff>138260</xdr:rowOff>
    </xdr:to>
    <xdr:grpSp>
      <xdr:nvGrpSpPr>
        <xdr:cNvPr id="8" name="קבוצה 7">
          <a:extLst>
            <a:ext uri="{FF2B5EF4-FFF2-40B4-BE49-F238E27FC236}">
              <a16:creationId xmlns:a16="http://schemas.microsoft.com/office/drawing/2014/main" id="{77C10316-995A-7EBF-4703-9CE18B54A0C7}"/>
            </a:ext>
          </a:extLst>
        </xdr:cNvPr>
        <xdr:cNvGrpSpPr/>
      </xdr:nvGrpSpPr>
      <xdr:grpSpPr>
        <a:xfrm>
          <a:off x="5843816" y="816428"/>
          <a:ext cx="2581727" cy="551918"/>
          <a:chOff x="5016501" y="843643"/>
          <a:chExt cx="2422071" cy="546474"/>
        </a:xfrm>
      </xdr:grpSpPr>
      <xdr:sp macro="[0]!ClearOutput" textlink="">
        <xdr:nvSpPr>
          <xdr:cNvPr id="5" name="מלבן: פינות מעוגלות 4">
            <a:extLst>
              <a:ext uri="{FF2B5EF4-FFF2-40B4-BE49-F238E27FC236}">
                <a16:creationId xmlns:a16="http://schemas.microsoft.com/office/drawing/2014/main" id="{A54EB354-FC90-614B-51CD-98A772F881C3}"/>
              </a:ext>
            </a:extLst>
          </xdr:cNvPr>
          <xdr:cNvSpPr/>
        </xdr:nvSpPr>
        <xdr:spPr>
          <a:xfrm>
            <a:off x="5016501" y="843643"/>
            <a:ext cx="2422071" cy="546474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/>
            <a:r>
              <a:rPr lang="he-IL" sz="1800" b="1">
                <a:solidFill>
                  <a:sysClr val="windowText" lastClr="000000"/>
                </a:solidFill>
              </a:rPr>
              <a:t>      </a:t>
            </a:r>
            <a:r>
              <a:rPr lang="en-US" sz="1800" b="1">
                <a:solidFill>
                  <a:sysClr val="windowText" lastClr="000000"/>
                </a:solidFill>
              </a:rPr>
              <a:t>CLEAR OUTPUT</a:t>
            </a:r>
            <a:endParaRPr lang="he-IL" sz="1800" b="1">
              <a:solidFill>
                <a:sysClr val="windowText" lastClr="000000"/>
              </a:solidFill>
            </a:endParaRPr>
          </a:p>
        </xdr:txBody>
      </xdr:sp>
      <xdr:pic macro="[0]!ClearInput">
        <xdr:nvPicPr>
          <xdr:cNvPr id="6" name="גרפיקה 5" descr="מחק עם מילוי מלא">
            <a:extLst>
              <a:ext uri="{FF2B5EF4-FFF2-40B4-BE49-F238E27FC236}">
                <a16:creationId xmlns:a16="http://schemas.microsoft.com/office/drawing/2014/main" id="{99401C7B-DE4F-9F56-30DE-B7947787DF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14678" y="943702"/>
            <a:ext cx="371006" cy="317227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3522</xdr:colOff>
      <xdr:row>0</xdr:row>
      <xdr:rowOff>123584</xdr:rowOff>
    </xdr:from>
    <xdr:to>
      <xdr:col>11</xdr:col>
      <xdr:colOff>240125</xdr:colOff>
      <xdr:row>3</xdr:row>
      <xdr:rowOff>25613</xdr:rowOff>
    </xdr:to>
    <xdr:grpSp>
      <xdr:nvGrpSpPr>
        <xdr:cNvPr id="7" name="קבוצה 6">
          <a:extLst>
            <a:ext uri="{FF2B5EF4-FFF2-40B4-BE49-F238E27FC236}">
              <a16:creationId xmlns:a16="http://schemas.microsoft.com/office/drawing/2014/main" id="{568C6248-0F96-6352-A8E8-4AD0BBFC1BCD}"/>
            </a:ext>
          </a:extLst>
        </xdr:cNvPr>
        <xdr:cNvGrpSpPr/>
      </xdr:nvGrpSpPr>
      <xdr:grpSpPr>
        <a:xfrm>
          <a:off x="4634789" y="123584"/>
          <a:ext cx="1929936" cy="545496"/>
          <a:chOff x="5897283" y="1175870"/>
          <a:chExt cx="1725706" cy="500530"/>
        </a:xfrm>
      </xdr:grpSpPr>
      <xdr:sp macro="[0]!Solve" textlink="">
        <xdr:nvSpPr>
          <xdr:cNvPr id="3" name="מלבן: פינות מעוגלות 2">
            <a:extLst>
              <a:ext uri="{FF2B5EF4-FFF2-40B4-BE49-F238E27FC236}">
                <a16:creationId xmlns:a16="http://schemas.microsoft.com/office/drawing/2014/main" id="{0FA4556E-FFE2-4B35-A666-73BF35FC6B55}"/>
              </a:ext>
            </a:extLst>
          </xdr:cNvPr>
          <xdr:cNvSpPr/>
        </xdr:nvSpPr>
        <xdr:spPr>
          <a:xfrm>
            <a:off x="5897283" y="1175870"/>
            <a:ext cx="1725706" cy="500530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/>
            <a:r>
              <a:rPr lang="he-IL" sz="1800" b="1">
                <a:solidFill>
                  <a:sysClr val="windowText" lastClr="000000"/>
                </a:solidFill>
              </a:rPr>
              <a:t>   </a:t>
            </a:r>
            <a:r>
              <a:rPr lang="en-US" sz="1800" b="1">
                <a:solidFill>
                  <a:sysClr val="windowText" lastClr="000000"/>
                </a:solidFill>
              </a:rPr>
              <a:t>SOLVE</a:t>
            </a:r>
            <a:endParaRPr lang="he-IL" sz="1800" b="1">
              <a:solidFill>
                <a:sysClr val="windowText" lastClr="000000"/>
              </a:solidFill>
            </a:endParaRPr>
          </a:p>
        </xdr:txBody>
      </xdr:sp>
      <xdr:pic macro="[0]!Solve">
        <xdr:nvPicPr>
          <xdr:cNvPr id="6" name="גרפיקה 5" descr="סיעור מוחות קו מיתאר">
            <a:extLst>
              <a:ext uri="{FF2B5EF4-FFF2-40B4-BE49-F238E27FC236}">
                <a16:creationId xmlns:a16="http://schemas.microsoft.com/office/drawing/2014/main" id="{3F1F8194-3232-5067-52FD-15CE95CB1A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140825" y="1253052"/>
            <a:ext cx="381000" cy="341742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249201</xdr:colOff>
      <xdr:row>0</xdr:row>
      <xdr:rowOff>120597</xdr:rowOff>
    </xdr:from>
    <xdr:to>
      <xdr:col>17</xdr:col>
      <xdr:colOff>62436</xdr:colOff>
      <xdr:row>3</xdr:row>
      <xdr:rowOff>25614</xdr:rowOff>
    </xdr:to>
    <xdr:grpSp>
      <xdr:nvGrpSpPr>
        <xdr:cNvPr id="10" name="קבוצה 9">
          <a:extLst>
            <a:ext uri="{FF2B5EF4-FFF2-40B4-BE49-F238E27FC236}">
              <a16:creationId xmlns:a16="http://schemas.microsoft.com/office/drawing/2014/main" id="{BECDFADC-2000-94FD-C92A-A47108AADF2C}"/>
            </a:ext>
          </a:extLst>
        </xdr:cNvPr>
        <xdr:cNvGrpSpPr/>
      </xdr:nvGrpSpPr>
      <xdr:grpSpPr>
        <a:xfrm>
          <a:off x="6997134" y="120597"/>
          <a:ext cx="1929902" cy="548484"/>
          <a:chOff x="7291293" y="306294"/>
          <a:chExt cx="1942353" cy="530412"/>
        </a:xfrm>
      </xdr:grpSpPr>
      <xdr:sp macro="[0]!ClearInput" textlink="">
        <xdr:nvSpPr>
          <xdr:cNvPr id="2" name="מלבן: פינות מעוגלות 1">
            <a:extLst>
              <a:ext uri="{FF2B5EF4-FFF2-40B4-BE49-F238E27FC236}">
                <a16:creationId xmlns:a16="http://schemas.microsoft.com/office/drawing/2014/main" id="{1C45389D-0795-992A-FBB6-25C2E1DFED68}"/>
              </a:ext>
            </a:extLst>
          </xdr:cNvPr>
          <xdr:cNvSpPr/>
        </xdr:nvSpPr>
        <xdr:spPr>
          <a:xfrm>
            <a:off x="7291293" y="306294"/>
            <a:ext cx="1942353" cy="530412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/>
            <a:r>
              <a:rPr lang="he-IL" sz="1800" b="1">
                <a:solidFill>
                  <a:sysClr val="windowText" lastClr="000000"/>
                </a:solidFill>
              </a:rPr>
              <a:t>      </a:t>
            </a:r>
            <a:r>
              <a:rPr lang="en-US" sz="1800" b="1">
                <a:solidFill>
                  <a:sysClr val="windowText" lastClr="000000"/>
                </a:solidFill>
              </a:rPr>
              <a:t>CLEAR INPUT</a:t>
            </a:r>
            <a:endParaRPr lang="he-IL" sz="1800" b="1">
              <a:solidFill>
                <a:sysClr val="windowText" lastClr="000000"/>
              </a:solidFill>
            </a:endParaRPr>
          </a:p>
        </xdr:txBody>
      </xdr:sp>
      <xdr:pic macro="[0]!ClearInput">
        <xdr:nvPicPr>
          <xdr:cNvPr id="9" name="גרפיקה 8" descr="מחק עם מילוי מלא">
            <a:extLst>
              <a:ext uri="{FF2B5EF4-FFF2-40B4-BE49-F238E27FC236}">
                <a16:creationId xmlns:a16="http://schemas.microsoft.com/office/drawing/2014/main" id="{4EC472C1-4185-9B58-D19D-43F0746854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440705" y="403412"/>
            <a:ext cx="313765" cy="313765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54DEF-5D08-45B6-8AB7-8DDE6B11CBC5}">
  <sheetPr codeName="Sheet2"/>
  <dimension ref="B2:Q112"/>
  <sheetViews>
    <sheetView topLeftCell="A3" workbookViewId="0">
      <selection activeCell="D5" sqref="D5"/>
    </sheetView>
  </sheetViews>
  <sheetFormatPr defaultRowHeight="13.8" x14ac:dyDescent="0.25"/>
  <cols>
    <col min="1" max="1" width="15.09765625" customWidth="1"/>
    <col min="2" max="2" width="14.09765625" customWidth="1"/>
    <col min="3" max="3" width="17.19921875" customWidth="1"/>
    <col min="4" max="4" width="14.19921875" customWidth="1"/>
    <col min="5" max="5" width="13.296875" customWidth="1"/>
    <col min="6" max="6" width="11.5" customWidth="1"/>
    <col min="7" max="7" width="12.19921875" customWidth="1"/>
    <col min="8" max="8" width="13.19921875" customWidth="1"/>
    <col min="13" max="13" width="11.69921875" customWidth="1"/>
  </cols>
  <sheetData>
    <row r="2" spans="2:17" ht="14.4" thickBot="1" x14ac:dyDescent="0.3"/>
    <row r="3" spans="2:17" ht="15" thickTop="1" thickBot="1" x14ac:dyDescent="0.3">
      <c r="B3" s="21" t="s">
        <v>12</v>
      </c>
      <c r="C3" s="22" t="s">
        <v>21</v>
      </c>
      <c r="D3" s="22">
        <v>10</v>
      </c>
    </row>
    <row r="4" spans="2:17" ht="15" thickTop="1" thickBot="1" x14ac:dyDescent="0.3">
      <c r="B4" s="21" t="s">
        <v>17</v>
      </c>
      <c r="C4" s="22" t="s">
        <v>19</v>
      </c>
      <c r="D4" s="22">
        <v>5</v>
      </c>
    </row>
    <row r="5" spans="2:17" ht="15" thickTop="1" thickBot="1" x14ac:dyDescent="0.3">
      <c r="B5" s="21" t="s">
        <v>18</v>
      </c>
      <c r="C5" s="22" t="s">
        <v>20</v>
      </c>
      <c r="D5" s="22">
        <v>9</v>
      </c>
    </row>
    <row r="6" spans="2:17" ht="14.4" thickTop="1" x14ac:dyDescent="0.25">
      <c r="B6" s="28" t="s">
        <v>11</v>
      </c>
      <c r="C6" s="25">
        <v>1</v>
      </c>
      <c r="D6" s="25">
        <v>2</v>
      </c>
      <c r="E6" s="25">
        <v>3</v>
      </c>
      <c r="F6" s="25">
        <v>4</v>
      </c>
      <c r="G6" s="25">
        <v>5</v>
      </c>
      <c r="H6" s="25">
        <v>6</v>
      </c>
      <c r="I6" s="25">
        <v>7</v>
      </c>
      <c r="J6" s="25">
        <v>8</v>
      </c>
      <c r="K6" s="25">
        <v>9</v>
      </c>
      <c r="L6" s="25">
        <v>10</v>
      </c>
      <c r="M6" s="26" t="s">
        <v>15</v>
      </c>
      <c r="P6" t="s">
        <v>36</v>
      </c>
    </row>
    <row r="7" spans="2:17" x14ac:dyDescent="0.25">
      <c r="B7" s="24">
        <v>1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1</v>
      </c>
      <c r="K7" s="23">
        <v>1</v>
      </c>
      <c r="L7" s="23">
        <v>0</v>
      </c>
      <c r="M7" s="25">
        <f t="shared" ref="M7:M16" si="0">SUM(C7:L7)</f>
        <v>2</v>
      </c>
      <c r="O7">
        <v>1</v>
      </c>
      <c r="P7" s="1" t="s">
        <v>35</v>
      </c>
      <c r="Q7">
        <v>1</v>
      </c>
    </row>
    <row r="8" spans="2:17" x14ac:dyDescent="0.25">
      <c r="B8" s="24">
        <v>2</v>
      </c>
      <c r="C8" s="23">
        <v>1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1</v>
      </c>
      <c r="J8" s="23">
        <v>0</v>
      </c>
      <c r="K8" s="23">
        <v>0</v>
      </c>
      <c r="L8" s="23">
        <v>0</v>
      </c>
      <c r="M8" s="25">
        <f t="shared" si="0"/>
        <v>2</v>
      </c>
      <c r="O8">
        <v>1</v>
      </c>
      <c r="P8" s="1" t="s">
        <v>34</v>
      </c>
      <c r="Q8">
        <v>2</v>
      </c>
    </row>
    <row r="9" spans="2:17" x14ac:dyDescent="0.25">
      <c r="B9" s="24">
        <v>3</v>
      </c>
      <c r="C9" s="23">
        <v>0</v>
      </c>
      <c r="D9" s="23">
        <v>1</v>
      </c>
      <c r="E9" s="23">
        <v>1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5">
        <f t="shared" si="0"/>
        <v>2</v>
      </c>
      <c r="O9">
        <v>1</v>
      </c>
      <c r="P9" s="1" t="s">
        <v>33</v>
      </c>
      <c r="Q9">
        <v>3</v>
      </c>
    </row>
    <row r="10" spans="2:17" x14ac:dyDescent="0.25">
      <c r="B10" s="24">
        <v>4</v>
      </c>
      <c r="C10" s="23">
        <v>0</v>
      </c>
      <c r="D10" s="23">
        <v>0</v>
      </c>
      <c r="E10" s="23">
        <v>0</v>
      </c>
      <c r="F10" s="23">
        <v>1</v>
      </c>
      <c r="G10" s="23">
        <v>1</v>
      </c>
      <c r="H10" s="23">
        <v>0</v>
      </c>
      <c r="I10" s="23">
        <v>0</v>
      </c>
      <c r="J10" s="23">
        <v>0</v>
      </c>
      <c r="K10" s="23">
        <v>0</v>
      </c>
      <c r="L10" s="23">
        <v>0</v>
      </c>
      <c r="M10" s="25">
        <f t="shared" si="0"/>
        <v>2</v>
      </c>
      <c r="O10">
        <v>1</v>
      </c>
      <c r="P10" s="1" t="s">
        <v>32</v>
      </c>
      <c r="Q10">
        <v>4</v>
      </c>
    </row>
    <row r="11" spans="2:17" x14ac:dyDescent="0.25">
      <c r="B11" s="24">
        <v>5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1</v>
      </c>
      <c r="I11" s="23">
        <v>0</v>
      </c>
      <c r="J11" s="23">
        <v>0</v>
      </c>
      <c r="K11" s="23">
        <v>0</v>
      </c>
      <c r="L11" s="23">
        <v>0</v>
      </c>
      <c r="M11" s="25">
        <f t="shared" si="0"/>
        <v>1</v>
      </c>
      <c r="O11">
        <v>1</v>
      </c>
      <c r="P11" s="1" t="s">
        <v>31</v>
      </c>
      <c r="Q11">
        <v>5</v>
      </c>
    </row>
    <row r="12" spans="2:17" x14ac:dyDescent="0.25">
      <c r="B12" s="24">
        <v>6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K12" s="23">
        <v>0</v>
      </c>
      <c r="L12" s="23">
        <v>0</v>
      </c>
      <c r="M12" s="25">
        <f t="shared" si="0"/>
        <v>0</v>
      </c>
      <c r="O12">
        <v>0</v>
      </c>
      <c r="P12" s="1" t="s">
        <v>30</v>
      </c>
      <c r="Q12">
        <v>6</v>
      </c>
    </row>
    <row r="13" spans="2:17" x14ac:dyDescent="0.25">
      <c r="B13" s="24">
        <v>7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23">
        <v>0</v>
      </c>
      <c r="K13" s="23">
        <v>0</v>
      </c>
      <c r="L13" s="23">
        <v>0</v>
      </c>
      <c r="M13" s="25">
        <f t="shared" si="0"/>
        <v>0</v>
      </c>
      <c r="O13">
        <v>0</v>
      </c>
      <c r="P13" s="1" t="s">
        <v>29</v>
      </c>
      <c r="Q13">
        <v>7</v>
      </c>
    </row>
    <row r="14" spans="2:17" x14ac:dyDescent="0.25">
      <c r="B14" s="24">
        <v>8</v>
      </c>
      <c r="C14" s="23">
        <v>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0</v>
      </c>
      <c r="L14" s="23">
        <v>0</v>
      </c>
      <c r="M14" s="25">
        <f t="shared" si="0"/>
        <v>0</v>
      </c>
      <c r="O14">
        <v>0</v>
      </c>
      <c r="P14" s="1" t="s">
        <v>28</v>
      </c>
      <c r="Q14">
        <v>8</v>
      </c>
    </row>
    <row r="15" spans="2:17" x14ac:dyDescent="0.25">
      <c r="B15" s="24">
        <v>9</v>
      </c>
      <c r="C15" s="23">
        <v>0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0</v>
      </c>
      <c r="J15" s="23">
        <v>0</v>
      </c>
      <c r="K15" s="23">
        <v>0</v>
      </c>
      <c r="L15" s="23">
        <v>0</v>
      </c>
      <c r="M15" s="25">
        <f t="shared" si="0"/>
        <v>0</v>
      </c>
      <c r="O15">
        <v>0</v>
      </c>
      <c r="P15" s="1" t="s">
        <v>27</v>
      </c>
      <c r="Q15">
        <v>9</v>
      </c>
    </row>
    <row r="16" spans="2:17" x14ac:dyDescent="0.25">
      <c r="B16" s="24">
        <v>10</v>
      </c>
      <c r="C16" s="23">
        <v>0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  <c r="K16" s="23">
        <v>0</v>
      </c>
      <c r="L16" s="23">
        <v>0</v>
      </c>
      <c r="M16" s="25">
        <f t="shared" si="0"/>
        <v>0</v>
      </c>
      <c r="O16">
        <v>0</v>
      </c>
      <c r="P16" s="1" t="s">
        <v>26</v>
      </c>
      <c r="Q16">
        <v>10</v>
      </c>
    </row>
    <row r="17" spans="2:13" x14ac:dyDescent="0.25">
      <c r="B17" s="26" t="s">
        <v>16</v>
      </c>
      <c r="C17" s="25">
        <f t="shared" ref="C17:L17" si="1">SUM(C7:C16)</f>
        <v>1</v>
      </c>
      <c r="D17" s="25">
        <f t="shared" si="1"/>
        <v>1</v>
      </c>
      <c r="E17" s="25">
        <f t="shared" si="1"/>
        <v>1</v>
      </c>
      <c r="F17" s="25">
        <f t="shared" si="1"/>
        <v>1</v>
      </c>
      <c r="G17" s="25">
        <f t="shared" si="1"/>
        <v>1</v>
      </c>
      <c r="H17" s="25">
        <f t="shared" si="1"/>
        <v>1</v>
      </c>
      <c r="I17" s="25">
        <f t="shared" si="1"/>
        <v>1</v>
      </c>
      <c r="J17" s="25">
        <f t="shared" si="1"/>
        <v>1</v>
      </c>
      <c r="K17" s="25">
        <f t="shared" si="1"/>
        <v>1</v>
      </c>
      <c r="L17" s="25">
        <f t="shared" si="1"/>
        <v>0</v>
      </c>
      <c r="M17" s="25">
        <f>SUM(M7:M16)</f>
        <v>9</v>
      </c>
    </row>
    <row r="22" spans="2:13" ht="21.6" thickBot="1" x14ac:dyDescent="0.45">
      <c r="C22" s="27"/>
      <c r="D22" s="27"/>
      <c r="E22" s="27"/>
      <c r="F22" s="27"/>
      <c r="G22" s="27"/>
      <c r="H22" s="42" t="s">
        <v>61</v>
      </c>
    </row>
    <row r="23" spans="2:13" ht="14.4" thickTop="1" x14ac:dyDescent="0.25">
      <c r="B23" s="43" t="s">
        <v>13</v>
      </c>
      <c r="C23" s="27"/>
      <c r="D23" s="32"/>
      <c r="E23" s="32" t="s">
        <v>22</v>
      </c>
      <c r="F23" s="33" t="s">
        <v>24</v>
      </c>
      <c r="G23" s="27"/>
      <c r="H23" s="27"/>
    </row>
    <row r="24" spans="2:13" x14ac:dyDescent="0.25">
      <c r="B24" s="44"/>
      <c r="C24" s="27"/>
      <c r="D24" s="33"/>
      <c r="E24" s="32" t="s">
        <v>23</v>
      </c>
      <c r="F24" s="34"/>
      <c r="G24" s="27"/>
      <c r="H24" s="27"/>
    </row>
    <row r="25" spans="2:13" x14ac:dyDescent="0.25">
      <c r="B25" s="44"/>
      <c r="C25" s="45"/>
      <c r="D25" s="35">
        <v>1</v>
      </c>
      <c r="E25" s="36" t="s">
        <v>14</v>
      </c>
      <c r="F25" s="36">
        <f>IF(INPUT!C7="",0,1)</f>
        <v>1</v>
      </c>
      <c r="G25" s="27"/>
      <c r="H25" s="27"/>
    </row>
    <row r="26" spans="2:13" x14ac:dyDescent="0.25">
      <c r="B26" s="44"/>
      <c r="C26" s="45"/>
      <c r="D26" s="35">
        <v>2</v>
      </c>
      <c r="E26" s="36" t="s">
        <v>14</v>
      </c>
      <c r="F26" s="36">
        <f>IF(INPUT!D7="",0,1)</f>
        <v>1</v>
      </c>
      <c r="G26" s="27"/>
      <c r="H26" s="27"/>
    </row>
    <row r="27" spans="2:13" x14ac:dyDescent="0.25">
      <c r="B27" s="44"/>
      <c r="C27" s="45"/>
      <c r="D27" s="35">
        <v>3</v>
      </c>
      <c r="E27" s="36" t="s">
        <v>14</v>
      </c>
      <c r="F27" s="36">
        <f>IF(INPUT!E7="",0,1)</f>
        <v>1</v>
      </c>
      <c r="G27" s="27"/>
      <c r="H27" s="27"/>
    </row>
    <row r="28" spans="2:13" x14ac:dyDescent="0.25">
      <c r="B28" s="44"/>
      <c r="C28" s="45"/>
      <c r="D28" s="35">
        <v>4</v>
      </c>
      <c r="E28" s="36" t="s">
        <v>14</v>
      </c>
      <c r="F28" s="36">
        <f>IF(INPUT!F7="",0,1)</f>
        <v>1</v>
      </c>
      <c r="G28" s="27"/>
      <c r="H28" s="27"/>
    </row>
    <row r="29" spans="2:13" x14ac:dyDescent="0.25">
      <c r="B29" s="44"/>
      <c r="C29" s="45"/>
      <c r="D29" s="35">
        <v>5</v>
      </c>
      <c r="E29" s="36" t="s">
        <v>14</v>
      </c>
      <c r="F29" s="36">
        <f>IF(INPUT!G7="",0,1)</f>
        <v>1</v>
      </c>
      <c r="G29" s="27"/>
      <c r="H29" s="27"/>
    </row>
    <row r="30" spans="2:13" x14ac:dyDescent="0.25">
      <c r="B30" s="44"/>
      <c r="C30" s="45"/>
      <c r="D30" s="35">
        <v>6</v>
      </c>
      <c r="E30" s="36" t="s">
        <v>14</v>
      </c>
      <c r="F30" s="36">
        <f>IF(INPUT!H7="",0,1)</f>
        <v>1</v>
      </c>
      <c r="G30" s="27"/>
      <c r="H30" s="27"/>
    </row>
    <row r="31" spans="2:13" x14ac:dyDescent="0.25">
      <c r="B31" s="44"/>
      <c r="C31" s="45"/>
      <c r="D31" s="35">
        <v>7</v>
      </c>
      <c r="E31" s="36" t="s">
        <v>14</v>
      </c>
      <c r="F31" s="36">
        <f>IF(INPUT!I7="",0,1)</f>
        <v>0</v>
      </c>
      <c r="G31" s="27"/>
      <c r="H31" s="27"/>
    </row>
    <row r="32" spans="2:13" x14ac:dyDescent="0.25">
      <c r="B32" s="44"/>
      <c r="C32" s="45"/>
      <c r="D32" s="35">
        <v>8</v>
      </c>
      <c r="E32" s="36" t="s">
        <v>14</v>
      </c>
      <c r="F32" s="36">
        <f>IF(INPUT!J7="",0,1)</f>
        <v>0</v>
      </c>
      <c r="G32" s="27"/>
      <c r="H32" s="27"/>
    </row>
    <row r="33" spans="2:8" x14ac:dyDescent="0.25">
      <c r="B33" s="44"/>
      <c r="C33" s="45"/>
      <c r="D33" s="35">
        <v>9</v>
      </c>
      <c r="E33" s="36" t="s">
        <v>14</v>
      </c>
      <c r="F33" s="36">
        <f>IF(INPUT!K7="",0,1)</f>
        <v>0</v>
      </c>
      <c r="G33" s="27"/>
      <c r="H33" s="27"/>
    </row>
    <row r="34" spans="2:8" x14ac:dyDescent="0.25">
      <c r="B34" s="44"/>
      <c r="C34" s="45"/>
      <c r="D34" s="35">
        <v>10</v>
      </c>
      <c r="E34" s="36" t="s">
        <v>14</v>
      </c>
      <c r="F34" s="36">
        <f>IF(INPUT!L7="",0,1)</f>
        <v>0</v>
      </c>
      <c r="G34" s="27"/>
      <c r="H34" s="27"/>
    </row>
    <row r="35" spans="2:8" x14ac:dyDescent="0.25">
      <c r="B35" s="44"/>
      <c r="C35" s="27"/>
      <c r="D35" s="27"/>
      <c r="E35" s="27"/>
      <c r="F35" s="27"/>
      <c r="G35" s="27"/>
      <c r="H35" s="27"/>
    </row>
    <row r="36" spans="2:8" ht="21" x14ac:dyDescent="0.4">
      <c r="B36" s="44"/>
      <c r="C36" s="37"/>
      <c r="D36" s="37"/>
      <c r="E36" s="37"/>
      <c r="F36" s="39"/>
      <c r="G36" s="38"/>
      <c r="H36" s="40" t="s">
        <v>25</v>
      </c>
    </row>
    <row r="37" spans="2:8" ht="14.4" thickBot="1" x14ac:dyDescent="0.3">
      <c r="B37" s="44"/>
      <c r="C37" s="37"/>
      <c r="D37" s="37"/>
      <c r="E37" s="37"/>
      <c r="F37" s="37"/>
      <c r="G37" s="38"/>
      <c r="H37" s="38"/>
    </row>
    <row r="38" spans="2:8" ht="14.4" thickTop="1" x14ac:dyDescent="0.25">
      <c r="B38" s="43" t="s">
        <v>13</v>
      </c>
      <c r="C38" s="38"/>
      <c r="D38" s="38"/>
      <c r="E38" s="38"/>
      <c r="F38" s="38"/>
      <c r="G38" s="38"/>
      <c r="H38" s="38"/>
    </row>
    <row r="39" spans="2:8" x14ac:dyDescent="0.25">
      <c r="B39" s="44"/>
      <c r="C39" s="38"/>
      <c r="D39" s="38"/>
      <c r="E39" s="38"/>
      <c r="F39" s="38"/>
      <c r="G39" s="38"/>
      <c r="H39" s="38"/>
    </row>
    <row r="40" spans="2:8" x14ac:dyDescent="0.25">
      <c r="B40" s="44"/>
      <c r="C40" s="38">
        <f>IF(O7=0,0,INPUT!C7*C7+INPUT!D7*D7+INPUT!E7*E7+INPUT!F7*F7+INPUT!G7*G7+INPUT!H7*H7+INPUT!I7*I7+INPUT!J7*J7+INPUT!K7*K7+INPUT!L7*L7)</f>
        <v>0</v>
      </c>
      <c r="D40" s="38"/>
      <c r="E40" s="38" t="s">
        <v>37</v>
      </c>
      <c r="F40" s="38"/>
      <c r="G40" s="38"/>
      <c r="H40" s="38"/>
    </row>
    <row r="41" spans="2:8" x14ac:dyDescent="0.25">
      <c r="B41" s="44"/>
      <c r="C41" s="38">
        <f>IF(O8=0,0,INPUT!$C$7*C8+INPUT!$D$7*D8+INPUT!$E$7*E8+INPUT!$F$7*F8+INPUT!$G$7*G8+INPUT!$H$7*H8+INPUT!$I$7*I8+INPUT!$J$7*J8+INPUT!$K$7*K8+INPUT!$L$7*L8)</f>
        <v>5</v>
      </c>
      <c r="D41" s="38"/>
      <c r="E41" s="38" t="s">
        <v>38</v>
      </c>
      <c r="F41" s="38"/>
      <c r="G41" s="38"/>
      <c r="H41" s="38"/>
    </row>
    <row r="42" spans="2:8" x14ac:dyDescent="0.25">
      <c r="B42" s="44"/>
      <c r="C42" s="38">
        <f>IF(O9=0,0,INPUT!$C$7*C9+INPUT!$D$7*D9+INPUT!$E$7*E9+INPUT!$F$7*F9+INPUT!$G$7*G9+INPUT!$H$7*H9+INPUT!$I$7*I9+INPUT!$J$7*J9+INPUT!$K$7*K9+INPUT!$L$7*L9)</f>
        <v>11</v>
      </c>
      <c r="D42" s="38"/>
      <c r="E42" s="38" t="s">
        <v>39</v>
      </c>
      <c r="F42" s="38"/>
      <c r="G42" s="38"/>
      <c r="H42" s="38"/>
    </row>
    <row r="43" spans="2:8" x14ac:dyDescent="0.25">
      <c r="B43" s="44"/>
      <c r="C43" s="38">
        <f>IF(O10=0,0,INPUT!$C$7*C10+INPUT!$D$7*D10+INPUT!$E$7*E10+INPUT!$F$7*F10+INPUT!$G$7*G10+INPUT!$H$7*H10+INPUT!$I$7*I10+INPUT!$J$7*J10+INPUT!$K$7*K10+INPUT!$L$7*L10)</f>
        <v>10</v>
      </c>
      <c r="D43" s="38"/>
      <c r="E43" s="38" t="s">
        <v>40</v>
      </c>
      <c r="F43" s="38"/>
      <c r="G43" s="38"/>
      <c r="H43" s="38"/>
    </row>
    <row r="44" spans="2:8" x14ac:dyDescent="0.25">
      <c r="B44" s="44"/>
      <c r="C44" s="38">
        <f>IF(O11=0,0,INPUT!$C$7*C11+INPUT!$D$7*D11+INPUT!$E$7*E11+INPUT!$F$7*F11+INPUT!$G$7*G11+INPUT!$H$7*H11+INPUT!$I$7*I11+INPUT!$J$7*J11+INPUT!$K$7*K11+INPUT!$L$7*L11)</f>
        <v>6</v>
      </c>
      <c r="D44" s="38"/>
      <c r="E44" s="38" t="s">
        <v>41</v>
      </c>
      <c r="F44" s="38"/>
      <c r="G44" s="38"/>
      <c r="H44" s="38"/>
    </row>
    <row r="45" spans="2:8" x14ac:dyDescent="0.25">
      <c r="B45" s="44"/>
      <c r="C45" s="38">
        <f>IF(O12=0,0,INPUT!$C$7*C12+INPUT!$D$7*D12+INPUT!$E$7*E12+INPUT!$F$7*F12+INPUT!$G$7*G12+INPUT!$H$7*H12+INPUT!$I$7*I12+INPUT!$J$7*J12+INPUT!$K$7*K12+INPUT!$L$7*L12)</f>
        <v>0</v>
      </c>
      <c r="D45" s="38"/>
      <c r="E45" s="38" t="s">
        <v>42</v>
      </c>
      <c r="F45" s="38"/>
      <c r="G45" s="38"/>
      <c r="H45" s="38"/>
    </row>
    <row r="46" spans="2:8" x14ac:dyDescent="0.25">
      <c r="B46" s="44"/>
      <c r="C46" s="38">
        <f>IF(O13=0,0,INPUT!$C$7*C13+INPUT!$D$7*D13+INPUT!$E$7*E13+INPUT!$F$7*F13+INPUT!$G$7*G13+INPUT!$H$7*H13+INPUT!$I$7*I13+INPUT!$J$7*J13+INPUT!$K$7*K13+INPUT!$L$7*L13)</f>
        <v>0</v>
      </c>
      <c r="D46" s="38"/>
      <c r="E46" s="38" t="s">
        <v>43</v>
      </c>
      <c r="F46" s="38"/>
      <c r="G46" s="38"/>
      <c r="H46" s="38"/>
    </row>
    <row r="47" spans="2:8" x14ac:dyDescent="0.25">
      <c r="B47" s="44"/>
      <c r="C47" s="38">
        <f>IF(O14=0,0,INPUT!$C$7*C14+INPUT!$D$7*D14+INPUT!$E$7*E14+INPUT!$F$7*F14+INPUT!$G$7*G14+INPUT!$H$7*H14+INPUT!$I$7*I14+INPUT!$J$7*J14+INPUT!$K$7*K14+INPUT!$L$7*L14)</f>
        <v>0</v>
      </c>
      <c r="D47" s="38"/>
      <c r="E47" s="38" t="s">
        <v>44</v>
      </c>
      <c r="F47" s="38"/>
      <c r="G47" s="38"/>
      <c r="H47" s="38"/>
    </row>
    <row r="48" spans="2:8" x14ac:dyDescent="0.25">
      <c r="B48" s="44"/>
      <c r="C48" s="38">
        <f>IF(O15=0,0,INPUT!$C$7*C15+INPUT!$D$7*D15+INPUT!$E$7*E15+INPUT!$F$7*F15+INPUT!$G$7*G15+INPUT!$H$7*H15+INPUT!$I$7*I15+INPUT!$J$7*J15+INPUT!$K$7*K15+INPUT!$L$7*L15)</f>
        <v>0</v>
      </c>
      <c r="D48" s="38"/>
      <c r="E48" s="38" t="s">
        <v>45</v>
      </c>
      <c r="F48" s="38"/>
      <c r="G48" s="38"/>
      <c r="H48" s="38"/>
    </row>
    <row r="49" spans="2:8" x14ac:dyDescent="0.25">
      <c r="B49" s="44"/>
      <c r="C49" s="38">
        <f>IF(O16=0,0,INPUT!$C$7*C16+INPUT!$D$7*D16+INPUT!$E$7*E16+INPUT!$F$7*F16+INPUT!$G$7*G16+INPUT!$H$7*H16+INPUT!$I$7*I16+INPUT!$J$7*J16+INPUT!$K$7*K16+INPUT!$L$7*L16)</f>
        <v>0</v>
      </c>
      <c r="D49" s="38"/>
      <c r="E49" s="38" t="s">
        <v>46</v>
      </c>
      <c r="F49" s="38"/>
      <c r="G49" s="38"/>
      <c r="H49" s="38"/>
    </row>
    <row r="50" spans="2:8" ht="21" x14ac:dyDescent="0.4">
      <c r="B50" s="44"/>
      <c r="C50" s="29"/>
      <c r="D50" s="29"/>
      <c r="E50" s="29"/>
      <c r="F50" s="29"/>
      <c r="G50" s="29"/>
      <c r="H50" s="41" t="s">
        <v>60</v>
      </c>
    </row>
    <row r="51" spans="2:8" x14ac:dyDescent="0.25">
      <c r="B51" s="44"/>
      <c r="C51" s="29"/>
      <c r="D51" s="29">
        <f>1*C7+2*C8+3*C9+4*C10+5*C11+6*C12+7*C13+8*C14+9*C15+10*C16</f>
        <v>2</v>
      </c>
      <c r="E51" s="29" t="s">
        <v>50</v>
      </c>
      <c r="F51" s="29"/>
      <c r="G51" s="29"/>
      <c r="H51" s="29"/>
    </row>
    <row r="52" spans="2:8" ht="14.4" thickBot="1" x14ac:dyDescent="0.3">
      <c r="B52" s="44"/>
      <c r="C52" s="29"/>
      <c r="D52" s="29">
        <f>1*D7+2*D8+3*D9+4*D10+5*D11+6*D12+7*D13+8*D14+9*D15+10*D16</f>
        <v>3</v>
      </c>
      <c r="E52" s="29" t="s">
        <v>51</v>
      </c>
      <c r="F52" s="29"/>
      <c r="G52" s="29"/>
      <c r="H52" s="29"/>
    </row>
    <row r="53" spans="2:8" ht="14.4" thickTop="1" x14ac:dyDescent="0.25">
      <c r="B53" s="43" t="s">
        <v>13</v>
      </c>
      <c r="C53" s="29"/>
      <c r="D53" s="29">
        <f>1*E7+2*E8+3*E9+4*E10+5*E11+6*E12+7*E13+8*E14+9*E15+10*E16</f>
        <v>3</v>
      </c>
      <c r="E53" s="29" t="s">
        <v>52</v>
      </c>
      <c r="F53" s="29"/>
      <c r="G53" s="29"/>
      <c r="H53" s="29"/>
    </row>
    <row r="54" spans="2:8" x14ac:dyDescent="0.25">
      <c r="B54" s="44"/>
      <c r="C54" s="29"/>
      <c r="D54" s="29">
        <f>1*F7+2*F8+3*F9+4*F10+5*F11+6*F12+7*F13+8*F14+9*F15+10*F16</f>
        <v>4</v>
      </c>
      <c r="E54" s="29" t="s">
        <v>53</v>
      </c>
      <c r="F54" s="29"/>
      <c r="G54" s="29"/>
      <c r="H54" s="29"/>
    </row>
    <row r="55" spans="2:8" x14ac:dyDescent="0.25">
      <c r="B55" s="44"/>
      <c r="C55" s="29"/>
      <c r="D55" s="29">
        <f>1*G7+2*G8+3*G9+4*G10+5*G11+6*G12+7*G13+8*G14+9*G15+10*G16</f>
        <v>4</v>
      </c>
      <c r="E55" s="29" t="s">
        <v>54</v>
      </c>
      <c r="F55" s="29"/>
      <c r="G55" s="29"/>
      <c r="H55" s="29"/>
    </row>
    <row r="56" spans="2:8" x14ac:dyDescent="0.25">
      <c r="B56" s="44"/>
      <c r="C56" s="29"/>
      <c r="D56" s="29">
        <f>1*H7+2*H8+3*H9+4*H10+5*H11+6*H12+7*H13+8*H14+9*H15+10*H16</f>
        <v>5</v>
      </c>
      <c r="E56" s="29" t="s">
        <v>55</v>
      </c>
      <c r="F56" s="29"/>
      <c r="G56" s="29"/>
      <c r="H56" s="29"/>
    </row>
    <row r="57" spans="2:8" x14ac:dyDescent="0.25">
      <c r="B57" s="44"/>
      <c r="C57" s="29"/>
      <c r="D57" s="29">
        <f>1*I7+2*I8+3*I9+4*I10+5*I11+6*I12+7*I13+8*I14+9*I15+10*I16</f>
        <v>2</v>
      </c>
      <c r="E57" s="29" t="s">
        <v>56</v>
      </c>
      <c r="F57" s="29"/>
      <c r="G57" s="29"/>
      <c r="H57" s="29"/>
    </row>
    <row r="58" spans="2:8" x14ac:dyDescent="0.25">
      <c r="B58" s="44"/>
      <c r="C58" s="29"/>
      <c r="D58" s="29">
        <f>1*J7+2*J8+3*J9+4*J10+5*J11+6*J12+7*J13+8*J14+9*J15+10*J16</f>
        <v>1</v>
      </c>
      <c r="E58" s="29" t="s">
        <v>57</v>
      </c>
      <c r="F58" s="29"/>
      <c r="G58" s="29"/>
      <c r="H58" s="29"/>
    </row>
    <row r="59" spans="2:8" x14ac:dyDescent="0.25">
      <c r="B59" s="44"/>
      <c r="C59" s="29"/>
      <c r="D59" s="29">
        <f>1*K7+2*K8+3*K9+4*K10+5*K11+6*K12+7*K13+8*K14+9*K15+10*K16</f>
        <v>1</v>
      </c>
      <c r="E59" s="29" t="s">
        <v>58</v>
      </c>
      <c r="F59" s="29"/>
      <c r="G59" s="29"/>
      <c r="H59" s="29"/>
    </row>
    <row r="60" spans="2:8" x14ac:dyDescent="0.25">
      <c r="B60" s="44"/>
      <c r="C60" s="29"/>
      <c r="D60" s="29">
        <f>1*L7+2*L8+3*L9+4*L10+5*L11+6*L12+7*L13+8*L14+9*L15+10*L16</f>
        <v>0</v>
      </c>
      <c r="E60" s="29" t="s">
        <v>59</v>
      </c>
      <c r="F60" s="29"/>
      <c r="G60" s="29"/>
      <c r="H60" s="29"/>
    </row>
    <row r="61" spans="2:8" x14ac:dyDescent="0.25">
      <c r="B61" s="44"/>
      <c r="C61" s="29"/>
      <c r="D61" s="29"/>
      <c r="E61" s="29"/>
      <c r="F61" s="29"/>
      <c r="G61" s="29"/>
      <c r="H61" s="29"/>
    </row>
    <row r="62" spans="2:8" x14ac:dyDescent="0.25">
      <c r="B62" s="44"/>
      <c r="C62" s="29"/>
      <c r="D62" s="29"/>
      <c r="E62" s="29"/>
      <c r="F62" s="29"/>
      <c r="G62" s="29"/>
      <c r="H62" s="29"/>
    </row>
    <row r="63" spans="2:8" x14ac:dyDescent="0.25">
      <c r="B63" s="44"/>
      <c r="C63" s="30" t="s">
        <v>48</v>
      </c>
      <c r="D63" s="30" t="s">
        <v>49</v>
      </c>
      <c r="E63" s="29"/>
      <c r="F63" s="29"/>
      <c r="G63" s="29"/>
      <c r="H63" s="29"/>
    </row>
    <row r="64" spans="2:8" x14ac:dyDescent="0.25">
      <c r="B64" s="44"/>
      <c r="C64" s="29">
        <f>INPUT!D8*(1*C7+2*C8+3*C9+4*C10+5*C11+6*C12+7*C13+8*C14+9*C15+10*C16)</f>
        <v>2</v>
      </c>
      <c r="D64" s="29">
        <f>1*D7+2*D8+3*D9+4*D10+5*D11+6*D12+7*D13+8*D14+9*D15+10*D16</f>
        <v>3</v>
      </c>
      <c r="E64" s="29"/>
      <c r="F64" s="31">
        <v>2</v>
      </c>
      <c r="G64" s="31" t="s">
        <v>47</v>
      </c>
      <c r="H64" s="31">
        <v>1</v>
      </c>
    </row>
    <row r="65" spans="2:8" x14ac:dyDescent="0.25">
      <c r="B65" s="44"/>
      <c r="C65" s="29">
        <f>INPUT!E8*(1*C7+2*C8+3*C9+4*C10+5*C11+6*C12+7*C13+8*C14+9*C15+10*C16)</f>
        <v>0</v>
      </c>
      <c r="D65" s="29">
        <f>1*E7+2*E8+3*E9+4*E10+5*E11+6*E12+7*E13+8*E14+9*E15+10*E16</f>
        <v>3</v>
      </c>
      <c r="E65" s="29"/>
      <c r="F65" s="31">
        <v>3</v>
      </c>
      <c r="G65" s="31" t="s">
        <v>47</v>
      </c>
      <c r="H65" s="31">
        <v>1</v>
      </c>
    </row>
    <row r="66" spans="2:8" x14ac:dyDescent="0.25">
      <c r="B66" s="44"/>
      <c r="C66" s="29">
        <f>INPUT!F8*(1*C7+2*C8+3*C9+4*C10+5*C11+6*C12+7*C13+8*C14+9*C15+10*C16)</f>
        <v>0</v>
      </c>
      <c r="D66" s="29">
        <f>1*F7+2*F8+3*F9+4*F10+5*F11+6*F12+7*F13+8*F14+9*F15+10*F16</f>
        <v>4</v>
      </c>
      <c r="E66" s="29"/>
      <c r="F66" s="31">
        <v>4</v>
      </c>
      <c r="G66" s="31" t="s">
        <v>47</v>
      </c>
      <c r="H66" s="31">
        <v>1</v>
      </c>
    </row>
    <row r="67" spans="2:8" ht="14.4" thickBot="1" x14ac:dyDescent="0.3">
      <c r="B67" s="44"/>
      <c r="C67" s="29">
        <f>INPUT!G8*(1*C7+2*C8+3*C9+4*C10+5*C11+6*C12+7*C13+8*C14+9*C15+10*C16)</f>
        <v>0</v>
      </c>
      <c r="D67" s="29">
        <f>1*G7+2*G8+3*G9+4*G10+5*G11+6*G12+7*G13+8*G14+9*G15+10*G16</f>
        <v>4</v>
      </c>
      <c r="E67" s="29"/>
      <c r="F67" s="31">
        <v>5</v>
      </c>
      <c r="G67" s="31" t="s">
        <v>47</v>
      </c>
      <c r="H67" s="31">
        <v>1</v>
      </c>
    </row>
    <row r="68" spans="2:8" ht="14.4" thickTop="1" x14ac:dyDescent="0.25">
      <c r="B68" s="43" t="s">
        <v>13</v>
      </c>
      <c r="C68" s="29">
        <f>INPUT!H8*(1*C7+2*C8+3*C9+4*C10+5*C11+6*C12+7*C13+8*C14+9*C15+10*C16)</f>
        <v>0</v>
      </c>
      <c r="D68" s="29">
        <f>1*H7+2*H8+3*H9+4*H10+5*H11+6*H12+7*H13+8*H14+9*H15+10*H16</f>
        <v>5</v>
      </c>
      <c r="E68" s="29"/>
      <c r="F68" s="31">
        <v>6</v>
      </c>
      <c r="G68" s="31" t="s">
        <v>47</v>
      </c>
      <c r="H68" s="31">
        <v>1</v>
      </c>
    </row>
    <row r="69" spans="2:8" x14ac:dyDescent="0.25">
      <c r="B69" s="44"/>
      <c r="C69" s="29">
        <f>INPUT!I8*(1*C7+2*C8+3*C9+4*C10+5*C11+6*C12+7*C13+8*C14+9*C15+10*C16)</f>
        <v>0</v>
      </c>
      <c r="D69" s="29">
        <f>1*I7+2*I8+3*I9+4*I10+5*I11+6*I12+7*I13+8*I14+9*I15+10*I16</f>
        <v>2</v>
      </c>
      <c r="E69" s="29"/>
      <c r="F69" s="31">
        <v>7</v>
      </c>
      <c r="G69" s="31" t="s">
        <v>47</v>
      </c>
      <c r="H69" s="31">
        <v>1</v>
      </c>
    </row>
    <row r="70" spans="2:8" x14ac:dyDescent="0.25">
      <c r="B70" s="44"/>
      <c r="C70" s="29">
        <f>INPUT!J8*(1*C7+2*C8+3*C9+4*C10+5*C11+6*C12+7*C13+8*C14+9*C15+10*C16)</f>
        <v>0</v>
      </c>
      <c r="D70" s="29">
        <f>1*J7+2*J8+3*J9+4*J10+5*J11+6*J12+7*J13+8*J14+9*J15+10*J16</f>
        <v>1</v>
      </c>
      <c r="E70" s="29"/>
      <c r="F70" s="31">
        <v>8</v>
      </c>
      <c r="G70" s="31" t="s">
        <v>47</v>
      </c>
      <c r="H70" s="31">
        <v>1</v>
      </c>
    </row>
    <row r="71" spans="2:8" x14ac:dyDescent="0.25">
      <c r="B71" s="44"/>
      <c r="C71" s="29">
        <f>INPUT!K8*(1*C7+2*C8+3*C9+4*C10+5*C11+6*C12+7*C13+8*C14+9*C15+10*C16)</f>
        <v>0</v>
      </c>
      <c r="D71" s="29">
        <f>1*K7+2*K8+3*K9+4*K10+5*K11+6*K12+7*K13+8*K14+9*K15+10*K16</f>
        <v>1</v>
      </c>
      <c r="E71" s="29"/>
      <c r="F71" s="31">
        <v>9</v>
      </c>
      <c r="G71" s="31" t="s">
        <v>47</v>
      </c>
      <c r="H71" s="31">
        <v>1</v>
      </c>
    </row>
    <row r="72" spans="2:8" x14ac:dyDescent="0.25">
      <c r="B72" s="44"/>
      <c r="C72" s="29">
        <f>INPUT!L8*(1*C7+2*C8+3*C9+4*C10+5*C11+6*C12+7*C13+8*C14+9*C15+10*C16)</f>
        <v>0</v>
      </c>
      <c r="D72" s="29">
        <f>1*L7+2*L8+3*L9+4*L10+5*L11+6*L12+7*L13+8*L14+9*L15+10*L16</f>
        <v>0</v>
      </c>
      <c r="E72" s="29"/>
      <c r="F72" s="31">
        <v>10</v>
      </c>
      <c r="G72" s="31" t="s">
        <v>47</v>
      </c>
      <c r="H72" s="31">
        <v>1</v>
      </c>
    </row>
    <row r="73" spans="2:8" x14ac:dyDescent="0.25">
      <c r="B73" s="44"/>
      <c r="C73" s="29">
        <f>INPUT!E9*(1*D7+2*D8+3*D9+4*D10+5*D11+6*D12+7*D13+8*D14+9*D15+10*D16)</f>
        <v>3</v>
      </c>
      <c r="D73" s="29">
        <f>1*E7+2*E8+3*E9+4*E10+5*E11+6*E12+7*E13+8*E14+9*E15+10*E16</f>
        <v>3</v>
      </c>
      <c r="E73" s="29"/>
      <c r="F73" s="31">
        <v>3</v>
      </c>
      <c r="G73" s="31" t="s">
        <v>47</v>
      </c>
      <c r="H73" s="31">
        <v>2</v>
      </c>
    </row>
    <row r="74" spans="2:8" x14ac:dyDescent="0.25">
      <c r="B74" s="44"/>
      <c r="C74" s="29">
        <f>INPUT!F9*(1*D7+2*D8+3*D9+4*D10+5*D11+6*D12+7*D13+8*D14+9*D15+10*D16)</f>
        <v>0</v>
      </c>
      <c r="D74" s="29">
        <f>1*F7+2*F8+3*F9+4*F10+5*F11+6*F12+7*F13+8*F14+9*F15+10*F16</f>
        <v>4</v>
      </c>
      <c r="E74" s="29"/>
      <c r="F74" s="31">
        <v>4</v>
      </c>
      <c r="G74" s="31" t="s">
        <v>47</v>
      </c>
      <c r="H74" s="31">
        <v>2</v>
      </c>
    </row>
    <row r="75" spans="2:8" x14ac:dyDescent="0.25">
      <c r="B75" s="44"/>
      <c r="C75" s="29">
        <f>INPUT!G9*(1*D7+2*D8+3*D9+4*D10+5*D11+6*D12+7*D13+8*D14+9*D15+10*D16)</f>
        <v>0</v>
      </c>
      <c r="D75" s="29">
        <f>1*G7+2*G8+3*G9+4*G10+5*G11+6*G12+7*G13+8*G14+9*G15+10*G16</f>
        <v>4</v>
      </c>
      <c r="E75" s="29"/>
      <c r="F75" s="31">
        <v>5</v>
      </c>
      <c r="G75" s="31" t="s">
        <v>47</v>
      </c>
      <c r="H75" s="31">
        <v>2</v>
      </c>
    </row>
    <row r="76" spans="2:8" x14ac:dyDescent="0.25">
      <c r="B76" s="44"/>
      <c r="C76" s="29">
        <f>INPUT!H9*(1*D7+2*D8+3*D9+4*D10+5*D11+6*D12+7*D13+8*D14+9*D15+10*D16)</f>
        <v>0</v>
      </c>
      <c r="D76" s="29">
        <f>1*H7+2*H8+3*H9+4*H10+5*H11+6*H12+7*H13+8*H14+9*H15+10*H16</f>
        <v>5</v>
      </c>
      <c r="E76" s="29"/>
      <c r="F76" s="31">
        <v>6</v>
      </c>
      <c r="G76" s="31" t="s">
        <v>47</v>
      </c>
      <c r="H76" s="31">
        <v>2</v>
      </c>
    </row>
    <row r="77" spans="2:8" x14ac:dyDescent="0.25">
      <c r="B77" s="44"/>
      <c r="C77" s="29">
        <f>INPUT!I9*(1*D7+2*D8+3*D9+4*D10+5*D11+6*D12+7*D13+8*D14+9*D15+10*D16)</f>
        <v>0</v>
      </c>
      <c r="D77" s="29">
        <f>1*I7+2*I8+3*I9+4*I10+5*I11+6*I12+7*I13+8*I14+9*I15+10*I16</f>
        <v>2</v>
      </c>
      <c r="E77" s="29"/>
      <c r="F77" s="31">
        <v>7</v>
      </c>
      <c r="G77" s="31" t="s">
        <v>47</v>
      </c>
      <c r="H77" s="31">
        <v>2</v>
      </c>
    </row>
    <row r="78" spans="2:8" x14ac:dyDescent="0.25">
      <c r="B78" s="44"/>
      <c r="C78" s="29">
        <f>INPUT!J9*(1*D7+2*D8+3*D9+4*D10+5*D11+6*D12+7*D13+8*D14+9*D15+10*D16)</f>
        <v>0</v>
      </c>
      <c r="D78" s="29">
        <f>1*J7+2*J8+3*J9+4*J10+5*J11+6*J12+7*J13+8*J14+9*J15+10*J16</f>
        <v>1</v>
      </c>
      <c r="E78" s="29"/>
      <c r="F78" s="31">
        <v>8</v>
      </c>
      <c r="G78" s="31" t="s">
        <v>47</v>
      </c>
      <c r="H78" s="31">
        <v>2</v>
      </c>
    </row>
    <row r="79" spans="2:8" x14ac:dyDescent="0.25">
      <c r="B79" s="44"/>
      <c r="C79" s="29">
        <f>INPUT!K9*(1*D7+2*D8+3*D9+4*D10+5*D11+6*D12+7*D13+8*D14+9*D15+10*D16)</f>
        <v>0</v>
      </c>
      <c r="D79" s="29">
        <f>1*K7+2*K8+3*K9+4*K10+5*K11+6*K12+7*K13+8*K14+9*K15+10*K16</f>
        <v>1</v>
      </c>
      <c r="E79" s="29"/>
      <c r="F79" s="31">
        <v>9</v>
      </c>
      <c r="G79" s="31" t="s">
        <v>47</v>
      </c>
      <c r="H79" s="31">
        <v>2</v>
      </c>
    </row>
    <row r="80" spans="2:8" x14ac:dyDescent="0.25">
      <c r="B80" s="44"/>
      <c r="C80" s="29">
        <f>INPUT!L9*(1*D7+2*D8+3*D9+4*D10+5*D11+6*D12+7*D13+8*D14+9*D15+10*D16)</f>
        <v>0</v>
      </c>
      <c r="D80" s="29">
        <f>1*L7+2*L8+3*L9+4*L10+5*L11+6*L12+7*L13+8*L14+9*L15+10*L16</f>
        <v>0</v>
      </c>
      <c r="E80" s="29"/>
      <c r="F80" s="31">
        <v>10</v>
      </c>
      <c r="G80" s="31" t="s">
        <v>47</v>
      </c>
      <c r="H80" s="31">
        <v>2</v>
      </c>
    </row>
    <row r="81" spans="2:8" x14ac:dyDescent="0.25">
      <c r="B81" s="44"/>
      <c r="C81" s="29">
        <f>INPUT!F10*(1*E7+2*E8+3*E9+4*E10+5*E11+6*E12+7*E13+8*E14+9*E15+10*E16)</f>
        <v>3</v>
      </c>
      <c r="D81" s="29">
        <f>1*F7+2*F8+3*F9+4*F10+5*F11+6*F12+7*F13+8*F14+9*F15+10*F16</f>
        <v>4</v>
      </c>
      <c r="E81" s="29"/>
      <c r="F81" s="31">
        <v>4</v>
      </c>
      <c r="G81" s="31" t="s">
        <v>47</v>
      </c>
      <c r="H81" s="31">
        <v>3</v>
      </c>
    </row>
    <row r="82" spans="2:8" ht="14.4" thickBot="1" x14ac:dyDescent="0.3">
      <c r="B82" s="44"/>
      <c r="C82" s="29">
        <f>INPUT!G10*(1*E7+2*E8+3*E9+4*E10+5*E11+6*E12+7*E13+8*E14+9*E15+10*E16)</f>
        <v>0</v>
      </c>
      <c r="D82" s="29">
        <f>1*G7+2*G8+3*G9+4*G10+5*G11+6*G12+7*G13+8*G14+9*G15+10*G16</f>
        <v>4</v>
      </c>
      <c r="E82" s="29"/>
      <c r="F82" s="31">
        <v>5</v>
      </c>
      <c r="G82" s="31" t="s">
        <v>47</v>
      </c>
      <c r="H82" s="31">
        <v>3</v>
      </c>
    </row>
    <row r="83" spans="2:8" ht="14.4" thickTop="1" x14ac:dyDescent="0.25">
      <c r="B83" s="43" t="s">
        <v>13</v>
      </c>
      <c r="C83" s="29">
        <f>INPUT!H10*(1*E7+2*E8+3*E9+4*E10+5*E11+6*E12+7*E13+8*E14+9*E15+10*E16)</f>
        <v>0</v>
      </c>
      <c r="D83" s="29">
        <f>1*H7+2*H8+3*H9+4*H10+5*H11+6*H12+7*H13+8*H14+9*H15+10*H16</f>
        <v>5</v>
      </c>
      <c r="E83" s="29"/>
      <c r="F83" s="31">
        <v>6</v>
      </c>
      <c r="G83" s="31" t="s">
        <v>47</v>
      </c>
      <c r="H83" s="31">
        <v>3</v>
      </c>
    </row>
    <row r="84" spans="2:8" x14ac:dyDescent="0.25">
      <c r="B84" s="44"/>
      <c r="C84" s="29">
        <f>INPUT!I10*(1*E7+2*E8+3*E9+4*E10+5*E11+6*E12+7*E13+8*E14+9*E15+10*E16)</f>
        <v>0</v>
      </c>
      <c r="D84" s="29">
        <f>1*I7+2*I8+3*I9+4*I10+5*I11+6*I12+7*I13+8*I14+9*I15+10*I16</f>
        <v>2</v>
      </c>
      <c r="E84" s="29"/>
      <c r="F84" s="31">
        <v>7</v>
      </c>
      <c r="G84" s="31" t="s">
        <v>47</v>
      </c>
      <c r="H84" s="31">
        <v>3</v>
      </c>
    </row>
    <row r="85" spans="2:8" x14ac:dyDescent="0.25">
      <c r="B85" s="44"/>
      <c r="C85" s="29">
        <f>INPUT!J10*(1*E7+2*E8+3*E9+4*E10+5*E11+6*E12+7*E13+8*E14+9*E15+10*E16)</f>
        <v>0</v>
      </c>
      <c r="D85" s="29">
        <f>1*J7+2*J8+3*J9+4*J10+5*J11+6*J12+7*J13+8*J14+9*J15+10*J16</f>
        <v>1</v>
      </c>
      <c r="E85" s="29"/>
      <c r="F85" s="31">
        <v>8</v>
      </c>
      <c r="G85" s="31" t="s">
        <v>47</v>
      </c>
      <c r="H85" s="31">
        <v>3</v>
      </c>
    </row>
    <row r="86" spans="2:8" x14ac:dyDescent="0.25">
      <c r="B86" s="44"/>
      <c r="C86" s="29">
        <f>INPUT!K10*(1*E7+2*E8+3*E9+4*E10+5*E11+6*E12+7*E13+8*E14+9*E15+10*E16)</f>
        <v>0</v>
      </c>
      <c r="D86" s="29">
        <f>1*K7+2*K8+3*K9+4*K10+5*K11+6*K12+7*K13+8*K14+9*K15+10*K16</f>
        <v>1</v>
      </c>
      <c r="E86" s="29"/>
      <c r="F86" s="31">
        <v>9</v>
      </c>
      <c r="G86" s="31" t="s">
        <v>47</v>
      </c>
      <c r="H86" s="31">
        <v>3</v>
      </c>
    </row>
    <row r="87" spans="2:8" x14ac:dyDescent="0.25">
      <c r="B87" s="44"/>
      <c r="C87" s="29">
        <f>INPUT!L10*(1*E7+2*E8+3*E9+4*E10+5*E11+6*E12+7*E13+8*E14+9*E15+10*E16)</f>
        <v>0</v>
      </c>
      <c r="D87" s="29">
        <f>1*L7+2*L8+3*L9+4*L10+5*L11+6*L12+7*L13+8*L14+9*L15+10*L16</f>
        <v>0</v>
      </c>
      <c r="E87" s="29"/>
      <c r="F87" s="31">
        <v>10</v>
      </c>
      <c r="G87" s="31" t="s">
        <v>47</v>
      </c>
      <c r="H87" s="31">
        <v>3</v>
      </c>
    </row>
    <row r="88" spans="2:8" x14ac:dyDescent="0.25">
      <c r="B88" s="44"/>
      <c r="C88" s="29">
        <f>INPUT!G11*1*(F7+2*F8+3*F9+4*F10+5*F11+6*F12+7*F13+8*F14+9*F15+10*F16)</f>
        <v>4</v>
      </c>
      <c r="D88" s="29">
        <f>1*G7+2*G8+3*G9+4*G10+5*G11+6*G12+7*G13+8*G14+9*G15+10*G16</f>
        <v>4</v>
      </c>
      <c r="E88" s="29"/>
      <c r="F88" s="31">
        <v>5</v>
      </c>
      <c r="G88" s="31" t="s">
        <v>47</v>
      </c>
      <c r="H88" s="31">
        <v>4</v>
      </c>
    </row>
    <row r="89" spans="2:8" x14ac:dyDescent="0.25">
      <c r="B89" s="44"/>
      <c r="C89" s="29">
        <f>INPUT!H11*(F7+2*F8+3*F9+4*F10+5*F11+6*F12+7*F13+8*F14+9*F15+10*F16)</f>
        <v>0</v>
      </c>
      <c r="D89" s="29">
        <f>1*H7+2*H8+3*H9+4*H10+5*H11+6*H12+7*H13+8*H14+9*H15+10*H16</f>
        <v>5</v>
      </c>
      <c r="E89" s="29"/>
      <c r="F89" s="31">
        <v>6</v>
      </c>
      <c r="G89" s="31" t="s">
        <v>47</v>
      </c>
      <c r="H89" s="31">
        <v>4</v>
      </c>
    </row>
    <row r="90" spans="2:8" x14ac:dyDescent="0.25">
      <c r="B90" s="44"/>
      <c r="C90" s="29">
        <f>INPUT!I11*(F7+2*F8+3*F9+4*F10+5*F11+6*F12+7*F13+8*F14+9*F15+10*F16)</f>
        <v>0</v>
      </c>
      <c r="D90" s="29">
        <f>1*I7+2*I8+3*I9+4*I10+5*I11+6*I12+7*I13+8*I14+9*I15+10*I16</f>
        <v>2</v>
      </c>
      <c r="E90" s="29"/>
      <c r="F90" s="31">
        <v>7</v>
      </c>
      <c r="G90" s="31" t="s">
        <v>47</v>
      </c>
      <c r="H90" s="31">
        <v>4</v>
      </c>
    </row>
    <row r="91" spans="2:8" x14ac:dyDescent="0.25">
      <c r="B91" s="44"/>
      <c r="C91" s="29">
        <f>INPUT!J11*(F7+2*F8+3*F9+4*F10+5*F11+6*F12+7*F13+8*F14+9*F15+10*F16)</f>
        <v>0</v>
      </c>
      <c r="D91" s="29">
        <f>1*J7+2*J8+3*J9+4*J10+5*J11+6*J12+7*J13+8*J14+9*J15+10*J16</f>
        <v>1</v>
      </c>
      <c r="E91" s="29"/>
      <c r="F91" s="31">
        <v>8</v>
      </c>
      <c r="G91" s="31" t="s">
        <v>47</v>
      </c>
      <c r="H91" s="31">
        <v>4</v>
      </c>
    </row>
    <row r="92" spans="2:8" x14ac:dyDescent="0.25">
      <c r="B92" s="44"/>
      <c r="C92" s="29">
        <f>INPUT!K11*(F7+2*F8+3*F9+4*F10+5*F11+6*F12+7*F13+8*F14+9*F15+10*F16)</f>
        <v>0</v>
      </c>
      <c r="D92" s="29">
        <f>1*K7+2*K8+3*K9+4*K10+5*K11+6*K12+7*K13+8*K14+9*K15+10*K16</f>
        <v>1</v>
      </c>
      <c r="E92" s="29"/>
      <c r="F92" s="31">
        <v>9</v>
      </c>
      <c r="G92" s="31" t="s">
        <v>47</v>
      </c>
      <c r="H92" s="31">
        <v>4</v>
      </c>
    </row>
    <row r="93" spans="2:8" x14ac:dyDescent="0.25">
      <c r="B93" s="44"/>
      <c r="C93" s="29">
        <f>INPUT!L11*(F7+2*F8+3*F9+4*F10+5*F11+6*F12+7*F13+8*F14+9*F15+10*F16)</f>
        <v>0</v>
      </c>
      <c r="D93" s="29">
        <f>1*L7+2*L8+3*L9+4*L10+5*L11+6*L12+7*L13+8*L14+9*L15+10*L16</f>
        <v>0</v>
      </c>
      <c r="E93" s="29"/>
      <c r="F93" s="31">
        <v>10</v>
      </c>
      <c r="G93" s="31" t="s">
        <v>47</v>
      </c>
      <c r="H93" s="31">
        <v>4</v>
      </c>
    </row>
    <row r="94" spans="2:8" x14ac:dyDescent="0.25">
      <c r="B94" s="44"/>
      <c r="C94" s="29">
        <f>INPUT!H12*(1*G7+2*G8+3*G9+4*G10+5*G11+6*G12+7*G13+8*G14+9*G15+10*G16)</f>
        <v>4</v>
      </c>
      <c r="D94" s="29">
        <f>D56</f>
        <v>5</v>
      </c>
      <c r="E94" s="29"/>
      <c r="F94" s="31">
        <v>6</v>
      </c>
      <c r="G94" s="31" t="s">
        <v>47</v>
      </c>
      <c r="H94" s="31">
        <v>5</v>
      </c>
    </row>
    <row r="95" spans="2:8" x14ac:dyDescent="0.25">
      <c r="B95" s="44"/>
      <c r="C95" s="29">
        <f>INPUT!I12*(1*G7+2*G8+3*G9+4*G10+5*G11+6*G12+7*G13+8*G14+9*G15+10*G16)</f>
        <v>0</v>
      </c>
      <c r="D95" s="29">
        <f>1*I7+2*I8+3*I9+4*I10+5*I11+6*I12+7*I13+8*I14+9*I15+10*I16</f>
        <v>2</v>
      </c>
      <c r="E95" s="29"/>
      <c r="F95" s="31">
        <v>7</v>
      </c>
      <c r="G95" s="31" t="s">
        <v>47</v>
      </c>
      <c r="H95" s="31">
        <v>5</v>
      </c>
    </row>
    <row r="96" spans="2:8" x14ac:dyDescent="0.25">
      <c r="B96" s="44"/>
      <c r="C96" s="29">
        <f>INPUT!J12*(1*G7+2*G8+3*G9+4*G10+5*G11+6*G12+7*G13+8*G14+9*G15+10*G16)</f>
        <v>0</v>
      </c>
      <c r="D96" s="29">
        <f>1*J7+2*J8+3*J9+4*J10+5*J11+6*J12+7*J13+8*J14+9*J15+10*J16</f>
        <v>1</v>
      </c>
      <c r="E96" s="29"/>
      <c r="F96" s="31">
        <v>8</v>
      </c>
      <c r="G96" s="31" t="s">
        <v>47</v>
      </c>
      <c r="H96" s="31">
        <v>5</v>
      </c>
    </row>
    <row r="97" spans="2:8" ht="14.4" thickBot="1" x14ac:dyDescent="0.3">
      <c r="B97" s="44"/>
      <c r="C97" s="29">
        <f>INPUT!K12*(1*G7+2*G8+3*G9+4*G10+5*G11+6*G12+7*G13+8*G14+9*G15+10*G16)</f>
        <v>0</v>
      </c>
      <c r="D97" s="29">
        <f>1*K7+2*K8+3*K9+4*K10+5*K11+6*K12+7*K13+8*K14+9*K15+10*K16</f>
        <v>1</v>
      </c>
      <c r="E97" s="29"/>
      <c r="F97" s="31">
        <v>9</v>
      </c>
      <c r="G97" s="31" t="s">
        <v>47</v>
      </c>
      <c r="H97" s="31">
        <v>5</v>
      </c>
    </row>
    <row r="98" spans="2:8" ht="14.4" thickTop="1" x14ac:dyDescent="0.25">
      <c r="B98" s="43" t="s">
        <v>13</v>
      </c>
      <c r="C98" s="29">
        <f>INPUT!L12*(1*G7+2*G8+3*G9+4*G10+5*G11+6*G12+7*G13+8*G14+9*G15+10*G16)</f>
        <v>0</v>
      </c>
      <c r="D98" s="29">
        <f>1*L7+2*L8+3*L9+4*L10+5*L11+6*L12+7*L13+8*L14+9*L15+10*L16</f>
        <v>0</v>
      </c>
      <c r="E98" s="29"/>
      <c r="F98" s="31">
        <v>10</v>
      </c>
      <c r="G98" s="31" t="s">
        <v>47</v>
      </c>
      <c r="H98" s="31">
        <v>5</v>
      </c>
    </row>
    <row r="99" spans="2:8" x14ac:dyDescent="0.25">
      <c r="B99" s="44"/>
      <c r="C99" s="29">
        <f>INPUT!I13*(1*H7+2*H8+3*H9+4*H10+5*H11+6*H12+7*H13+8*H14+9*H15+10*H16)</f>
        <v>0</v>
      </c>
      <c r="D99" s="29">
        <f>1*I7+2*I8+3*I9+4*I10+5*I11+6*I12+7*I13+8*I14+9*I15+10*I16</f>
        <v>2</v>
      </c>
      <c r="E99" s="29"/>
      <c r="F99" s="31">
        <v>7</v>
      </c>
      <c r="G99" s="31" t="s">
        <v>47</v>
      </c>
      <c r="H99" s="31">
        <v>6</v>
      </c>
    </row>
    <row r="100" spans="2:8" x14ac:dyDescent="0.25">
      <c r="B100" s="44"/>
      <c r="C100" s="29">
        <f>INPUT!J13*(1*H7+2*H8+3*H9+4*H10+5*H11+6*H12+7*H13+8*H14+9*H15+10*H16)</f>
        <v>0</v>
      </c>
      <c r="D100" s="29">
        <f>1*J7+2*J8+3*J9+4*J10+5*J11+6*J12+7*J13+8*J14+9*J15+10*J16</f>
        <v>1</v>
      </c>
      <c r="E100" s="29"/>
      <c r="F100" s="31">
        <v>8</v>
      </c>
      <c r="G100" s="31" t="s">
        <v>47</v>
      </c>
      <c r="H100" s="31">
        <v>6</v>
      </c>
    </row>
    <row r="101" spans="2:8" x14ac:dyDescent="0.25">
      <c r="B101" s="44"/>
      <c r="C101" s="29">
        <f>INPUT!K13*(1*H7+2*H8+3*H9+4*H10+5*H11+6*H12+7*H13+8*H14+9*H15+10*H16)</f>
        <v>0</v>
      </c>
      <c r="D101" s="29">
        <f>1*K7+2*K8+3*K9+4*K10+5*K11+6*K12+7*K13+8*K14+9*K15+10*K16</f>
        <v>1</v>
      </c>
      <c r="E101" s="29"/>
      <c r="F101" s="31">
        <v>9</v>
      </c>
      <c r="G101" s="31" t="s">
        <v>47</v>
      </c>
      <c r="H101" s="31">
        <v>6</v>
      </c>
    </row>
    <row r="102" spans="2:8" x14ac:dyDescent="0.25">
      <c r="B102" s="44"/>
      <c r="C102" s="29">
        <f>INPUT!L13*(1*H7+2*H8+3*H9+4*H10+5*H11+6*H12+7*H13+8*H14+9*H15+10*H16)</f>
        <v>0</v>
      </c>
      <c r="D102" s="29">
        <f>1*L7+2*L8+3*L9+4*L10+5*L11+6*L12+7*L13+8*L14+9*L15+10*L16</f>
        <v>0</v>
      </c>
      <c r="E102" s="29"/>
      <c r="F102" s="31">
        <v>10</v>
      </c>
      <c r="G102" s="31" t="s">
        <v>47</v>
      </c>
      <c r="H102" s="31">
        <v>6</v>
      </c>
    </row>
    <row r="103" spans="2:8" x14ac:dyDescent="0.25">
      <c r="B103" s="44"/>
      <c r="C103" s="29">
        <f>INPUT!J14*(1*I7+2*I8+3*I9+4*I10+5*I11+6*I12+7*I13+8*I14+9*I15+10*I16)</f>
        <v>0</v>
      </c>
      <c r="D103" s="29">
        <f>1*J7+2*J8+3*J9+4*J10+5*J11+6*J12+7*J13+8*J14+9*J15+10*J16</f>
        <v>1</v>
      </c>
      <c r="E103" s="29"/>
      <c r="F103" s="31">
        <v>8</v>
      </c>
      <c r="G103" s="31" t="s">
        <v>47</v>
      </c>
      <c r="H103" s="31">
        <v>7</v>
      </c>
    </row>
    <row r="104" spans="2:8" x14ac:dyDescent="0.25">
      <c r="B104" s="44"/>
      <c r="C104" s="29">
        <f>INPUT!K14*(1*I7+2*I8+3*I9+4*I10+5*I11+6*I12+7*I13+8*I14+9*I15+10*I16)</f>
        <v>0</v>
      </c>
      <c r="D104" s="29">
        <f>1*K7+2*K8+3*K9+4*K10+5*K11+6*K12+7*K13+8*K14+9*K15+10*K16</f>
        <v>1</v>
      </c>
      <c r="E104" s="29"/>
      <c r="F104" s="31">
        <v>9</v>
      </c>
      <c r="G104" s="31" t="s">
        <v>47</v>
      </c>
      <c r="H104" s="31">
        <v>7</v>
      </c>
    </row>
    <row r="105" spans="2:8" x14ac:dyDescent="0.25">
      <c r="B105" s="44"/>
      <c r="C105" s="29">
        <f>INPUT!L14*(1*I7+2*I8+3*I9+4*I10+5*I11+6*I12+7*I13+8*I14+9*I15+10*I16)</f>
        <v>0</v>
      </c>
      <c r="D105" s="29">
        <f>1*L7+2*L8+3*L9+4*L10+5*L11+6*L12+7*L13+8*L14+9*L15+10*L16</f>
        <v>0</v>
      </c>
      <c r="E105" s="29"/>
      <c r="F105" s="31">
        <v>10</v>
      </c>
      <c r="G105" s="31" t="s">
        <v>47</v>
      </c>
      <c r="H105" s="31">
        <v>7</v>
      </c>
    </row>
    <row r="106" spans="2:8" x14ac:dyDescent="0.25">
      <c r="B106" s="44"/>
      <c r="C106" s="29">
        <f>INPUT!K15*(1*J7+2*J8+3*J9+4*J10+5*J11+6*J12+7*J13+8*J14+9*J15+10*J16)</f>
        <v>0</v>
      </c>
      <c r="D106" s="29">
        <f>1*K7+2*K8+3*K9+4*K10+5*K11+6*K12+7*K13+8*K14+9*K15+10*K16</f>
        <v>1</v>
      </c>
      <c r="E106" s="29"/>
      <c r="F106" s="31">
        <v>9</v>
      </c>
      <c r="G106" s="31" t="s">
        <v>47</v>
      </c>
      <c r="H106" s="31">
        <v>8</v>
      </c>
    </row>
    <row r="107" spans="2:8" x14ac:dyDescent="0.25">
      <c r="B107" s="44"/>
      <c r="C107" s="29">
        <f>INPUT!L15*(1*J7+2*J8+3*J9+4*J10+5*J11+6*J12+7*J13+8*J14+9*J15+10*J16)</f>
        <v>0</v>
      </c>
      <c r="D107" s="29">
        <f>1*L7+2*L8+3*L9+4*L10+5*L11+6*L12+7*L13+8*L14+9*L15+10*L16</f>
        <v>0</v>
      </c>
      <c r="E107" s="29"/>
      <c r="F107" s="31">
        <v>10</v>
      </c>
      <c r="G107" s="31" t="s">
        <v>47</v>
      </c>
      <c r="H107" s="31">
        <v>8</v>
      </c>
    </row>
    <row r="108" spans="2:8" x14ac:dyDescent="0.25">
      <c r="B108" s="44"/>
      <c r="C108" s="29">
        <f>INPUT!L16*(1*K7+2*K8+3*K9+4*K10+5*K11+6*K12+7*K13+8*K14+9*K15+10*K16)</f>
        <v>0</v>
      </c>
      <c r="D108" s="29">
        <f>1*L7+2*L8+3*L9+4*L10+5*L11+6*L12+7*L13+8*L14+9*L15+10*L16</f>
        <v>0</v>
      </c>
      <c r="E108" s="29"/>
      <c r="F108" s="31">
        <v>10</v>
      </c>
      <c r="G108" s="31" t="s">
        <v>47</v>
      </c>
      <c r="H108" s="31">
        <v>9</v>
      </c>
    </row>
    <row r="109" spans="2:8" x14ac:dyDescent="0.25">
      <c r="B109" s="44"/>
    </row>
    <row r="110" spans="2:8" x14ac:dyDescent="0.25">
      <c r="B110" s="44"/>
    </row>
    <row r="111" spans="2:8" x14ac:dyDescent="0.25">
      <c r="B111" s="44"/>
    </row>
    <row r="112" spans="2:8" x14ac:dyDescent="0.25">
      <c r="B112" s="44"/>
    </row>
  </sheetData>
  <mergeCells count="7">
    <mergeCell ref="B83:B97"/>
    <mergeCell ref="B98:B112"/>
    <mergeCell ref="B23:B37"/>
    <mergeCell ref="C25:C34"/>
    <mergeCell ref="B38:B52"/>
    <mergeCell ref="B53:B67"/>
    <mergeCell ref="B68:B82"/>
  </mergeCells>
  <phoneticPr fontId="6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C2A64-E9C7-4ECE-9A03-0932FF71BF2C}">
  <sheetPr codeName="גיליון2"/>
  <dimension ref="A2:AE41"/>
  <sheetViews>
    <sheetView tabSelected="1" zoomScale="70" zoomScaleNormal="70" workbookViewId="0">
      <selection activeCell="A2" sqref="A2"/>
    </sheetView>
  </sheetViews>
  <sheetFormatPr defaultRowHeight="13.8" x14ac:dyDescent="0.25"/>
  <cols>
    <col min="1" max="1" width="32.09765625" customWidth="1"/>
    <col min="2" max="2" width="18.796875" customWidth="1"/>
    <col min="3" max="31" width="9.5" customWidth="1"/>
  </cols>
  <sheetData>
    <row r="2" spans="1:31" ht="25.2" thickBot="1" x14ac:dyDescent="0.45">
      <c r="A2" s="11" t="s">
        <v>3</v>
      </c>
    </row>
    <row r="3" spans="1:31" ht="17.399999999999999" x14ac:dyDescent="0.3">
      <c r="A3" s="12" t="s">
        <v>9</v>
      </c>
      <c r="B3" s="4">
        <v>11</v>
      </c>
    </row>
    <row r="4" spans="1:31" ht="41.25" customHeight="1" x14ac:dyDescent="0.25">
      <c r="A4" s="13" t="s">
        <v>7</v>
      </c>
      <c r="B4" s="46" t="s">
        <v>62</v>
      </c>
    </row>
    <row r="5" spans="1:31" ht="18" thickBot="1" x14ac:dyDescent="0.35">
      <c r="A5" s="16" t="s">
        <v>10</v>
      </c>
      <c r="B5" s="5">
        <v>11</v>
      </c>
    </row>
    <row r="9" spans="1:31" ht="21" x14ac:dyDescent="0.4">
      <c r="B9" s="8" t="s">
        <v>5</v>
      </c>
    </row>
    <row r="10" spans="1:31" x14ac:dyDescent="0.25">
      <c r="B10" s="20" t="s">
        <v>4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</row>
    <row r="11" spans="1:31" x14ac:dyDescent="0.25">
      <c r="B11" s="17">
        <v>1</v>
      </c>
      <c r="C11" s="17">
        <v>3</v>
      </c>
      <c r="D11" s="17">
        <v>5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</row>
    <row r="12" spans="1:31" x14ac:dyDescent="0.25">
      <c r="B12" s="18">
        <v>2</v>
      </c>
      <c r="C12" s="18">
        <v>4</v>
      </c>
      <c r="D12" s="18">
        <v>6</v>
      </c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</row>
    <row r="13" spans="1:31" x14ac:dyDescent="0.25"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</row>
    <row r="14" spans="1:31" x14ac:dyDescent="0.25"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</row>
    <row r="15" spans="1:31" x14ac:dyDescent="0.25"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</row>
    <row r="16" spans="1:31" x14ac:dyDescent="0.25"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</row>
    <row r="17" spans="2:31" x14ac:dyDescent="0.25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</row>
    <row r="18" spans="2:31" x14ac:dyDescent="0.25"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</row>
    <row r="19" spans="2:31" x14ac:dyDescent="0.25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</row>
    <row r="20" spans="2:31" x14ac:dyDescent="0.25"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</row>
    <row r="21" spans="2:31" x14ac:dyDescent="0.25"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</row>
    <row r="22" spans="2:31" x14ac:dyDescent="0.25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</row>
    <row r="23" spans="2:31" x14ac:dyDescent="0.25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</row>
    <row r="24" spans="2:31" x14ac:dyDescent="0.25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</row>
    <row r="25" spans="2:31" x14ac:dyDescent="0.25"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</row>
    <row r="26" spans="2:31" x14ac:dyDescent="0.2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</row>
    <row r="27" spans="2:31" x14ac:dyDescent="0.25"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</row>
    <row r="28" spans="2:31" x14ac:dyDescent="0.25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</row>
    <row r="29" spans="2:31" x14ac:dyDescent="0.25"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</row>
    <row r="30" spans="2:31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</row>
    <row r="31" spans="2:31" x14ac:dyDescent="0.25"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</row>
    <row r="32" spans="2:31" x14ac:dyDescent="0.25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</row>
    <row r="33" spans="1:31" x14ac:dyDescent="0.25"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</row>
    <row r="34" spans="1:31" x14ac:dyDescent="0.25"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</row>
    <row r="35" spans="1:31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</row>
    <row r="36" spans="1:31" x14ac:dyDescent="0.25"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</row>
    <row r="37" spans="1:31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</row>
    <row r="38" spans="1:31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</row>
    <row r="39" spans="1:31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</row>
    <row r="40" spans="1:31" x14ac:dyDescent="0.25"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</row>
    <row r="41" spans="1:31" ht="31.2" x14ac:dyDescent="0.3">
      <c r="A41" s="15" t="s">
        <v>6</v>
      </c>
      <c r="B41" s="6">
        <v>10</v>
      </c>
      <c r="C41" s="6">
        <v>11</v>
      </c>
      <c r="D41" s="6">
        <v>11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</row>
  </sheetData>
  <phoneticPr fontId="6" type="noConversion"/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AF37"/>
  <sheetViews>
    <sheetView zoomScale="90" zoomScaleNormal="90" workbookViewId="0">
      <selection activeCell="I7" sqref="I7"/>
    </sheetView>
  </sheetViews>
  <sheetFormatPr defaultRowHeight="13.8" x14ac:dyDescent="0.25"/>
  <cols>
    <col min="1" max="1" width="23.19921875" customWidth="1"/>
    <col min="2" max="2" width="9.796875" customWidth="1"/>
    <col min="3" max="38" width="5.59765625" customWidth="1"/>
  </cols>
  <sheetData>
    <row r="1" spans="1:32" ht="22.8" x14ac:dyDescent="0.4">
      <c r="A1" s="7" t="s">
        <v>2</v>
      </c>
      <c r="I1" s="1"/>
    </row>
    <row r="2" spans="1:32" x14ac:dyDescent="0.25">
      <c r="B2" s="9" t="s">
        <v>8</v>
      </c>
      <c r="C2" s="10">
        <v>3</v>
      </c>
    </row>
    <row r="6" spans="1:32" x14ac:dyDescent="0.25">
      <c r="B6" s="2" t="s">
        <v>0</v>
      </c>
      <c r="C6" s="3"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3">
        <v>10</v>
      </c>
      <c r="M6" s="3">
        <v>11</v>
      </c>
      <c r="N6" s="3">
        <v>12</v>
      </c>
      <c r="O6" s="3">
        <v>13</v>
      </c>
      <c r="P6" s="3">
        <v>14</v>
      </c>
      <c r="Q6" s="3">
        <v>15</v>
      </c>
      <c r="R6" s="3">
        <v>16</v>
      </c>
      <c r="S6" s="3">
        <v>17</v>
      </c>
      <c r="T6" s="3">
        <v>18</v>
      </c>
      <c r="U6" s="3">
        <v>19</v>
      </c>
      <c r="V6" s="3">
        <v>20</v>
      </c>
      <c r="W6" s="3">
        <v>21</v>
      </c>
      <c r="X6" s="3">
        <v>22</v>
      </c>
      <c r="Y6" s="3">
        <v>23</v>
      </c>
      <c r="Z6" s="3">
        <v>24</v>
      </c>
      <c r="AA6" s="3">
        <v>25</v>
      </c>
      <c r="AB6" s="3">
        <v>26</v>
      </c>
      <c r="AC6" s="3">
        <v>27</v>
      </c>
      <c r="AD6" s="3">
        <v>28</v>
      </c>
      <c r="AE6" s="3">
        <v>29</v>
      </c>
      <c r="AF6" s="3">
        <v>30</v>
      </c>
    </row>
    <row r="7" spans="1:32" x14ac:dyDescent="0.25">
      <c r="B7" s="2" t="s">
        <v>1</v>
      </c>
      <c r="C7" s="3">
        <v>5</v>
      </c>
      <c r="D7" s="3">
        <v>5</v>
      </c>
      <c r="E7" s="3">
        <v>6</v>
      </c>
      <c r="F7" s="3">
        <v>5</v>
      </c>
      <c r="G7" s="3">
        <v>5</v>
      </c>
      <c r="H7" s="3">
        <v>6</v>
      </c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 x14ac:dyDescent="0.25">
      <c r="B8" s="2">
        <v>1</v>
      </c>
      <c r="C8" s="14"/>
      <c r="D8" s="3">
        <v>1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 x14ac:dyDescent="0.25">
      <c r="B9" s="2">
        <v>2</v>
      </c>
      <c r="C9" s="14"/>
      <c r="D9" s="14"/>
      <c r="E9" s="3">
        <v>1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25">
      <c r="B10" s="2">
        <v>3</v>
      </c>
      <c r="C10" s="14"/>
      <c r="D10" s="14"/>
      <c r="E10" s="14"/>
      <c r="F10" s="3">
        <v>1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 x14ac:dyDescent="0.25">
      <c r="B11" s="2">
        <v>4</v>
      </c>
      <c r="C11" s="14"/>
      <c r="D11" s="14"/>
      <c r="E11" s="14"/>
      <c r="F11" s="14"/>
      <c r="G11" s="3">
        <v>1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 x14ac:dyDescent="0.25">
      <c r="B12" s="2">
        <v>5</v>
      </c>
      <c r="C12" s="14"/>
      <c r="D12" s="14"/>
      <c r="E12" s="14"/>
      <c r="F12" s="14"/>
      <c r="G12" s="14"/>
      <c r="H12" s="3">
        <v>1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 ht="16.5" customHeight="1" x14ac:dyDescent="0.25">
      <c r="B13" s="2">
        <v>6</v>
      </c>
      <c r="C13" s="14"/>
      <c r="D13" s="14"/>
      <c r="E13" s="14"/>
      <c r="F13" s="14"/>
      <c r="G13" s="14"/>
      <c r="H13" s="14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 x14ac:dyDescent="0.25">
      <c r="B14" s="2">
        <v>7</v>
      </c>
      <c r="C14" s="14"/>
      <c r="D14" s="14"/>
      <c r="E14" s="14"/>
      <c r="F14" s="14"/>
      <c r="G14" s="14"/>
      <c r="H14" s="14"/>
      <c r="I14" s="14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 x14ac:dyDescent="0.25">
      <c r="B15" s="2">
        <v>8</v>
      </c>
      <c r="C15" s="14"/>
      <c r="D15" s="14"/>
      <c r="E15" s="14"/>
      <c r="F15" s="14"/>
      <c r="G15" s="14"/>
      <c r="H15" s="14"/>
      <c r="I15" s="14"/>
      <c r="J15" s="14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 x14ac:dyDescent="0.25">
      <c r="B16" s="2">
        <v>9</v>
      </c>
      <c r="C16" s="14"/>
      <c r="D16" s="14"/>
      <c r="E16" s="14"/>
      <c r="F16" s="14"/>
      <c r="G16" s="14"/>
      <c r="H16" s="14"/>
      <c r="I16" s="14"/>
      <c r="J16" s="14"/>
      <c r="K16" s="14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2:32" x14ac:dyDescent="0.25">
      <c r="B17" s="2">
        <v>10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2:32" x14ac:dyDescent="0.25">
      <c r="B18" s="2">
        <v>11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2:32" x14ac:dyDescent="0.25">
      <c r="B19" s="2">
        <v>12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2:32" x14ac:dyDescent="0.25">
      <c r="B20" s="2">
        <v>13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2:32" x14ac:dyDescent="0.25">
      <c r="B21" s="2">
        <v>14</v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2:32" x14ac:dyDescent="0.25">
      <c r="B22" s="2">
        <v>15</v>
      </c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2:32" x14ac:dyDescent="0.25">
      <c r="B23" s="2">
        <v>16</v>
      </c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2:32" x14ac:dyDescent="0.25">
      <c r="B24" s="2">
        <v>17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2:32" x14ac:dyDescent="0.25">
      <c r="B25" s="2">
        <v>18</v>
      </c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2:32" x14ac:dyDescent="0.25">
      <c r="B26" s="2">
        <v>19</v>
      </c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2:32" x14ac:dyDescent="0.25">
      <c r="B27" s="2">
        <v>20</v>
      </c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2:32" x14ac:dyDescent="0.25">
      <c r="B28" s="2">
        <v>21</v>
      </c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3"/>
      <c r="Y28" s="3"/>
      <c r="Z28" s="3"/>
      <c r="AA28" s="3"/>
      <c r="AB28" s="3"/>
      <c r="AC28" s="3"/>
      <c r="AD28" s="3"/>
      <c r="AE28" s="3"/>
      <c r="AF28" s="3"/>
    </row>
    <row r="29" spans="2:32" x14ac:dyDescent="0.25">
      <c r="B29" s="2">
        <v>22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3"/>
      <c r="Z29" s="3"/>
      <c r="AA29" s="3"/>
      <c r="AB29" s="3"/>
      <c r="AC29" s="3"/>
      <c r="AD29" s="3"/>
      <c r="AE29" s="3"/>
      <c r="AF29" s="3"/>
    </row>
    <row r="30" spans="2:32" x14ac:dyDescent="0.25">
      <c r="B30" s="2">
        <v>23</v>
      </c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3"/>
      <c r="AA30" s="3"/>
      <c r="AB30" s="3"/>
      <c r="AC30" s="3"/>
      <c r="AD30" s="3"/>
      <c r="AE30" s="3"/>
      <c r="AF30" s="3"/>
    </row>
    <row r="31" spans="2:32" x14ac:dyDescent="0.25">
      <c r="B31" s="2">
        <v>24</v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3"/>
      <c r="AB31" s="3"/>
      <c r="AC31" s="3"/>
      <c r="AD31" s="3"/>
      <c r="AE31" s="3"/>
      <c r="AF31" s="3"/>
    </row>
    <row r="32" spans="2:32" x14ac:dyDescent="0.25">
      <c r="B32" s="2">
        <v>25</v>
      </c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3"/>
      <c r="AC32" s="3"/>
      <c r="AD32" s="3"/>
      <c r="AE32" s="3"/>
      <c r="AF32" s="3"/>
    </row>
    <row r="33" spans="2:32" x14ac:dyDescent="0.25">
      <c r="B33" s="2">
        <v>26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3"/>
      <c r="AD33" s="3"/>
      <c r="AE33" s="3"/>
      <c r="AF33" s="3"/>
    </row>
    <row r="34" spans="2:32" x14ac:dyDescent="0.25">
      <c r="B34" s="2">
        <v>27</v>
      </c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3"/>
      <c r="AE34" s="3"/>
      <c r="AF34" s="3"/>
    </row>
    <row r="35" spans="2:32" x14ac:dyDescent="0.25">
      <c r="B35" s="2">
        <v>28</v>
      </c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3"/>
      <c r="AF35" s="3"/>
    </row>
    <row r="36" spans="2:32" x14ac:dyDescent="0.25">
      <c r="B36" s="2">
        <v>29</v>
      </c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3"/>
    </row>
    <row r="37" spans="2:32" x14ac:dyDescent="0.25">
      <c r="B37" s="2">
        <v>30</v>
      </c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SOLVER</vt:lpstr>
      <vt:lpstr>OUTPUT</vt:lpstr>
      <vt:lpstr>INPUT</vt:lpstr>
      <vt:lpstr>aj</vt:lpstr>
      <vt:lpstr>bj</vt:lpstr>
      <vt:lpstr>cj</vt:lpstr>
      <vt:lpstr>cycle</vt:lpstr>
      <vt:lpstr>ej</vt:lpstr>
      <vt:lpstr>fj</vt:lpstr>
      <vt:lpstr>K_OPT</vt:lpstr>
      <vt:lpstr>UB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Yael Konforti</dc:creator>
  <cp:lastModifiedBy>שי</cp:lastModifiedBy>
  <dcterms:created xsi:type="dcterms:W3CDTF">2017-10-16T13:47:21Z</dcterms:created>
  <dcterms:modified xsi:type="dcterms:W3CDTF">2023-05-30T14:47:12Z</dcterms:modified>
</cp:coreProperties>
</file>